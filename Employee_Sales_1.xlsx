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K:\Data Analyst Coding_Ninjas_2025\1.Microsoft Excel\4.Summary_ Introduction to MS Excel-II\Project Practice\"/>
    </mc:Choice>
  </mc:AlternateContent>
  <xr:revisionPtr revIDLastSave="0" documentId="13_ncr:1_{F85EBFBD-538F-45B5-8C28-095E3F8A340F}" xr6:coauthVersionLast="47" xr6:coauthVersionMax="47" xr10:uidLastSave="{00000000-0000-0000-0000-000000000000}"/>
  <bookViews>
    <workbookView xWindow="-110" yWindow="-110" windowWidth="19420" windowHeight="11020" activeTab="1" xr2:uid="{00000000-000D-0000-FFFF-FFFF00000000}"/>
  </bookViews>
  <sheets>
    <sheet name="Raw Data" sheetId="1" r:id="rId1"/>
    <sheet name="Calculations" sheetId="2" r:id="rId2"/>
    <sheet name="Pivot Table" sheetId="7" state="hidden" r:id="rId3"/>
    <sheet name="Dashboard" sheetId="6" r:id="rId4"/>
    <sheet name="Screenshot" sheetId="8" r:id="rId5"/>
  </sheets>
  <definedNames>
    <definedName name="Slicer_Department">#N/A</definedName>
    <definedName name="Slicer_Employee_Name">#N/A</definedName>
    <definedName name="Slicer_Revenue">#N/A</definedName>
    <definedName name="Slicer_Status">#N/A</definedName>
  </definedNames>
  <calcPr calcId="191029"/>
  <pivotCaches>
    <pivotCache cacheId="43"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2" l="1" a="1"/>
  <c r="D8" i="2" s="1"/>
  <c r="D7" i="2"/>
  <c r="D6" i="2"/>
  <c r="D5" i="2"/>
  <c r="D4" i="2"/>
  <c r="D3" i="2"/>
  <c r="D2" i="2"/>
  <c r="E8" i="2"/>
  <c r="E7" i="2"/>
  <c r="E6" i="2"/>
  <c r="E5" i="2"/>
  <c r="E4" i="2"/>
  <c r="E2" i="2"/>
  <c r="E3"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<sst xmlns="http://schemas.openxmlformats.org/spreadsheetml/2006/main" count="658" uniqueCount="241">
  <si>
    <t>Employee Name</t>
  </si>
  <si>
    <t>Department</t>
  </si>
  <si>
    <t>Monthly Sales</t>
  </si>
  <si>
    <t>Order Date</t>
  </si>
  <si>
    <t>Delivery Date</t>
  </si>
  <si>
    <t>Status</t>
  </si>
  <si>
    <t>Quantity Sold</t>
  </si>
  <si>
    <t>Unit Price</t>
  </si>
  <si>
    <t>Revenue</t>
  </si>
  <si>
    <t>Allison Hill</t>
  </si>
  <si>
    <t>IT</t>
  </si>
  <si>
    <t>Completed</t>
  </si>
  <si>
    <t>Noah Rhodes</t>
  </si>
  <si>
    <t>HR</t>
  </si>
  <si>
    <t>Pending</t>
  </si>
  <si>
    <t>Angie Henderson</t>
  </si>
  <si>
    <t>Sales</t>
  </si>
  <si>
    <t>Daniel Wagner</t>
  </si>
  <si>
    <t>Cristian Santos</t>
  </si>
  <si>
    <t>Connie Lawrence</t>
  </si>
  <si>
    <t>Abigail Shaffer</t>
  </si>
  <si>
    <t>Gina Moore</t>
  </si>
  <si>
    <t>Gabrielle Davis</t>
  </si>
  <si>
    <t>Ryan Munoz</t>
  </si>
  <si>
    <t>Finance</t>
  </si>
  <si>
    <t>Monica Herrera</t>
  </si>
  <si>
    <t>Jamie Arnold</t>
  </si>
  <si>
    <t>Lisa Hensley</t>
  </si>
  <si>
    <t>Michele Williams</t>
  </si>
  <si>
    <t>Dylan Miller</t>
  </si>
  <si>
    <t>Brian Ramirez</t>
  </si>
  <si>
    <t>Holly Wood</t>
  </si>
  <si>
    <t>Derek Zuniga</t>
  </si>
  <si>
    <t>Lisa Jackson</t>
  </si>
  <si>
    <t>Carla Gray</t>
  </si>
  <si>
    <t>Margaret Hawkins DDS</t>
  </si>
  <si>
    <t>Patty Perez</t>
  </si>
  <si>
    <t>Ethan Adams</t>
  </si>
  <si>
    <t>Tommy Walter</t>
  </si>
  <si>
    <t>Matthew Foster</t>
  </si>
  <si>
    <t>Judy Baker</t>
  </si>
  <si>
    <t>Justin Baker</t>
  </si>
  <si>
    <t>Stephanie Ross</t>
  </si>
  <si>
    <t>Zachary Hicks</t>
  </si>
  <si>
    <t>Anthony Rodriguez</t>
  </si>
  <si>
    <t>Rebecca Henderson</t>
  </si>
  <si>
    <t>James Ferrell</t>
  </si>
  <si>
    <t>Tricia Valencia</t>
  </si>
  <si>
    <t>Nathan Maldonado</t>
  </si>
  <si>
    <t>Debra Davidson</t>
  </si>
  <si>
    <t>Jeffrey Chavez</t>
  </si>
  <si>
    <t>Sherri Baker</t>
  </si>
  <si>
    <t>Cassandra Gaines</t>
  </si>
  <si>
    <t>Elizabeth Fowler</t>
  </si>
  <si>
    <t>Brittany Farmer</t>
  </si>
  <si>
    <t>Paula Moreno</t>
  </si>
  <si>
    <t>Fred Smith</t>
  </si>
  <si>
    <t>Sherry Decker</t>
  </si>
  <si>
    <t>Anthony Humphrey</t>
  </si>
  <si>
    <t>Angelica Tucker</t>
  </si>
  <si>
    <t>Philip Cannon</t>
  </si>
  <si>
    <t>John Pierce</t>
  </si>
  <si>
    <t>Shane Henderson</t>
  </si>
  <si>
    <t>Joshua Blair</t>
  </si>
  <si>
    <t>Eric Carney</t>
  </si>
  <si>
    <t>Jessica Holmes</t>
  </si>
  <si>
    <t>Danny Morgan</t>
  </si>
  <si>
    <t>Crystal Robinson</t>
  </si>
  <si>
    <t>Mark Perez</t>
  </si>
  <si>
    <t>Shannon Jones</t>
  </si>
  <si>
    <t>Michael Lewis</t>
  </si>
  <si>
    <t>Timothy Duncan</t>
  </si>
  <si>
    <t>Richard Aguirre</t>
  </si>
  <si>
    <t>Brent Jordan</t>
  </si>
  <si>
    <t>John Daniel</t>
  </si>
  <si>
    <t>Victoria Garcia</t>
  </si>
  <si>
    <t>Gerald Hensley</t>
  </si>
  <si>
    <t>Connor West</t>
  </si>
  <si>
    <t>Donald Wright</t>
  </si>
  <si>
    <t>Jessica Callahan</t>
  </si>
  <si>
    <t>Amber Kidd</t>
  </si>
  <si>
    <t>Tracy House</t>
  </si>
  <si>
    <t>Carol Tucker</t>
  </si>
  <si>
    <t>James Brown</t>
  </si>
  <si>
    <t>William Baker</t>
  </si>
  <si>
    <t>Jordan Henderson</t>
  </si>
  <si>
    <t>Whitney Peters</t>
  </si>
  <si>
    <t>Brittney Phillips</t>
  </si>
  <si>
    <t>Lauren Daniels</t>
  </si>
  <si>
    <t>Amy Silva</t>
  </si>
  <si>
    <t>Sarah Moore</t>
  </si>
  <si>
    <t>Angela Lopez</t>
  </si>
  <si>
    <t>Megan Young</t>
  </si>
  <si>
    <t>Steve Sanchez</t>
  </si>
  <si>
    <t>Lisa Barnes</t>
  </si>
  <si>
    <t>Kelly Donovan</t>
  </si>
  <si>
    <t>Mike Allen</t>
  </si>
  <si>
    <t>Michael Evans</t>
  </si>
  <si>
    <t>Paul Jones</t>
  </si>
  <si>
    <t>Zachary Ferrell</t>
  </si>
  <si>
    <t>Daniel Baker</t>
  </si>
  <si>
    <t>Shirley Suarez</t>
  </si>
  <si>
    <t>Christopher Bass</t>
  </si>
  <si>
    <t>Lisa Archer</t>
  </si>
  <si>
    <t>Aimee Montoya</t>
  </si>
  <si>
    <t>Matthew Mcmillan</t>
  </si>
  <si>
    <t>Brian Rodriguez</t>
  </si>
  <si>
    <t>Denise Jacobs</t>
  </si>
  <si>
    <t>Christina Walters</t>
  </si>
  <si>
    <t>John Whitehead</t>
  </si>
  <si>
    <t>Anna Henderson</t>
  </si>
  <si>
    <t>Aaron Wise</t>
  </si>
  <si>
    <t>Deborah Figueroa</t>
  </si>
  <si>
    <t>Jessica Smith</t>
  </si>
  <si>
    <t>Stephen Mckee</t>
  </si>
  <si>
    <t>Sandra Aguilar</t>
  </si>
  <si>
    <t>Cameron Parker</t>
  </si>
  <si>
    <t>Rebecca Valencia</t>
  </si>
  <si>
    <t>Christine Wright</t>
  </si>
  <si>
    <t>Richard Henson</t>
  </si>
  <si>
    <t>Marc Moore</t>
  </si>
  <si>
    <t>Sharon Cherry</t>
  </si>
  <si>
    <t>Sierra Johnson</t>
  </si>
  <si>
    <t>Evelyn Galvan</t>
  </si>
  <si>
    <t>Sharon Cochran</t>
  </si>
  <si>
    <t>Richard Rodriguez</t>
  </si>
  <si>
    <t>Shannon Walker</t>
  </si>
  <si>
    <t>Julia Torres</t>
  </si>
  <si>
    <t>Crystal Johnson</t>
  </si>
  <si>
    <t>Garrett Lin</t>
  </si>
  <si>
    <t>Diana May</t>
  </si>
  <si>
    <t>William Herrera</t>
  </si>
  <si>
    <t>Ashley Waller</t>
  </si>
  <si>
    <t>Victor Baker</t>
  </si>
  <si>
    <t>Jeffrey Chandler</t>
  </si>
  <si>
    <t>Larry Dixon</t>
  </si>
  <si>
    <t>Kenneth Scott</t>
  </si>
  <si>
    <t>April Frost</t>
  </si>
  <si>
    <t>Michelle Harmon</t>
  </si>
  <si>
    <t>Helen Jones</t>
  </si>
  <si>
    <t>Erin Edwards</t>
  </si>
  <si>
    <t>Michelle Evans</t>
  </si>
  <si>
    <t>Jason Powell</t>
  </si>
  <si>
    <t>Cameron Fisher</t>
  </si>
  <si>
    <t>Megan Orr</t>
  </si>
  <si>
    <t>Elizabeth Kelley</t>
  </si>
  <si>
    <t>Dustin Jordan</t>
  </si>
  <si>
    <t>Mary Marshall</t>
  </si>
  <si>
    <t>Daniel Kennedy</t>
  </si>
  <si>
    <t>Rebecca Jackson</t>
  </si>
  <si>
    <t>Jose Schultz</t>
  </si>
  <si>
    <t>Robert Potter</t>
  </si>
  <si>
    <t>Courtney Gonzalez</t>
  </si>
  <si>
    <t>David Alvarez</t>
  </si>
  <si>
    <t>Angel Perry</t>
  </si>
  <si>
    <t>Cheyenne Horton</t>
  </si>
  <si>
    <t>David Douglas Jr.</t>
  </si>
  <si>
    <t>Patricia Rodriguez</t>
  </si>
  <si>
    <t>Christopher Rubio</t>
  </si>
  <si>
    <t>Amber Wright</t>
  </si>
  <si>
    <t>Joyce Solis</t>
  </si>
  <si>
    <t>Victoria Larson</t>
  </si>
  <si>
    <t>Stephanie Salazar</t>
  </si>
  <si>
    <t>Kathy Rivas</t>
  </si>
  <si>
    <t>Stephanie Manning</t>
  </si>
  <si>
    <t>David Wright</t>
  </si>
  <si>
    <t>Pamela Boyd</t>
  </si>
  <si>
    <t>Denise Jones</t>
  </si>
  <si>
    <t>Devon Flores</t>
  </si>
  <si>
    <t>Brenda Hall</t>
  </si>
  <si>
    <t>Michelle Brown</t>
  </si>
  <si>
    <t>Joshua Perry</t>
  </si>
  <si>
    <t>Jason Stein</t>
  </si>
  <si>
    <t>Melissa Gates</t>
  </si>
  <si>
    <t>Jamie Smith</t>
  </si>
  <si>
    <t>Paul Castaneda</t>
  </si>
  <si>
    <t>Jennifer Adkins</t>
  </si>
  <si>
    <t>Lindsey Walker</t>
  </si>
  <si>
    <t>Jeffrey Johnson</t>
  </si>
  <si>
    <t>Michael Powell</t>
  </si>
  <si>
    <t>John Anderson</t>
  </si>
  <si>
    <t>Alyssa Long</t>
  </si>
  <si>
    <t>Alyssa Day</t>
  </si>
  <si>
    <t>Joel Williams</t>
  </si>
  <si>
    <t>Daniel Murphy</t>
  </si>
  <si>
    <t>Jamie Walton</t>
  </si>
  <si>
    <t>Darlene Miller</t>
  </si>
  <si>
    <t>Joshua Cooke</t>
  </si>
  <si>
    <t>Matthew Harrington</t>
  </si>
  <si>
    <t>Nicole Herring</t>
  </si>
  <si>
    <t>Alex Hernandez</t>
  </si>
  <si>
    <t>Michael Elliott</t>
  </si>
  <si>
    <t>Michael Wang</t>
  </si>
  <si>
    <t>Lawrence Adkins</t>
  </si>
  <si>
    <t>Robert Oconnell</t>
  </si>
  <si>
    <t>Alexander Collins</t>
  </si>
  <si>
    <t>Tina Sanders</t>
  </si>
  <si>
    <t>Angela Vaughn</t>
  </si>
  <si>
    <t>Ashley Barton</t>
  </si>
  <si>
    <t>Lindsay Martinez</t>
  </si>
  <si>
    <t>Dr. Hannah Patterson</t>
  </si>
  <si>
    <t>Jonathan Peterson</t>
  </si>
  <si>
    <t>Samantha Garcia</t>
  </si>
  <si>
    <t>Madison Poole</t>
  </si>
  <si>
    <t>Jessica Gross</t>
  </si>
  <si>
    <t>Debra Morton</t>
  </si>
  <si>
    <t>Karen Graham</t>
  </si>
  <si>
    <t>Debra Christian</t>
  </si>
  <si>
    <t>Angelica Keith</t>
  </si>
  <si>
    <t>John Bishop</t>
  </si>
  <si>
    <t>Allen Rosales</t>
  </si>
  <si>
    <t>Daniel Salinas</t>
  </si>
  <si>
    <t>Spencer Haynes</t>
  </si>
  <si>
    <t>Adam Vaughan</t>
  </si>
  <si>
    <t>Nathan Freeman</t>
  </si>
  <si>
    <t>Business Question</t>
  </si>
  <si>
    <t>Metric Label</t>
  </si>
  <si>
    <t>Calculated Answer</t>
  </si>
  <si>
    <t>Serial Number</t>
  </si>
  <si>
    <t>What is the total revenue generated by employees in the "Sales" department?</t>
  </si>
  <si>
    <t>Formula Used</t>
  </si>
  <si>
    <t>Calculate the total revenue generated by employees whose "Status" is "Completed."</t>
  </si>
  <si>
    <t>Completed Transactions Revenue</t>
  </si>
  <si>
    <t>Find the highest revenue generated in a single transaction.</t>
  </si>
  <si>
    <t>What is the average quantity sold across all transactions?</t>
  </si>
  <si>
    <t>Average Quantity Sold</t>
  </si>
  <si>
    <t>Earliest Order Date</t>
  </si>
  <si>
    <t>Identify the earliest order date from the dataset.</t>
  </si>
  <si>
    <t>Steps Used</t>
  </si>
  <si>
    <t>1)Applied Formula</t>
  </si>
  <si>
    <t>1)Applied Formula 2)Converted the general Format into Date format</t>
  </si>
  <si>
    <t>What is the total number of employees in the HR department?</t>
  </si>
  <si>
    <t>HR Department Headcount</t>
  </si>
  <si>
    <t>What is the maximum date gap between the delivery date and the order date for all orders?</t>
  </si>
  <si>
    <t>Maximum Delivery Time (Days)</t>
  </si>
  <si>
    <t>Row Labels</t>
  </si>
  <si>
    <t>Grand Total</t>
  </si>
  <si>
    <t>Sum of Revenue</t>
  </si>
  <si>
    <t>Highest Single Transaction</t>
  </si>
  <si>
    <t xml:space="preserve"> Total Sales Revenue Dept</t>
  </si>
  <si>
    <t>Count of Employee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</si>
</sst>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72" formatCode="_ * #,##0_ ;_ * \-#,##0_ ;_ * &quot;-&quot;??_ ;_ @_ "/>
  </numFmts>
  <fonts count="5">
    <font>
      <sz val="11"/>
      <color theme="1"/>
      <name val="Calibri"/>
      <charset val="134"/>
      <scheme val="minor"/>
    </font>
    <font>
      <sz val="11"/>
      <color theme="1"/>
      <name val="Calibri"/>
      <family val="2"/>
      <scheme val="minor"/>
    </font>
    <font>
      <sz val="11"/>
      <color theme="1"/>
      <name val="Calibri"/>
      <charset val="134"/>
      <scheme val="minor"/>
    </font>
    <font>
      <b/>
      <sz val="14"/>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alignment vertical="center"/>
    </xf>
    <xf numFmtId="43" fontId="2" fillId="0" borderId="0" applyFont="0" applyFill="0" applyBorder="0" applyAlignment="0" applyProtection="0">
      <alignment vertical="center"/>
    </xf>
  </cellStyleXfs>
  <cellXfs count="29">
    <xf numFmtId="0" fontId="0" fillId="0" borderId="0" xfId="0">
      <alignment vertical="center"/>
    </xf>
    <xf numFmtId="14" fontId="0" fillId="0" borderId="0" xfId="0" applyNumberFormat="1">
      <alignment vertical="center"/>
    </xf>
    <xf numFmtId="0" fontId="1" fillId="0" borderId="0" xfId="0" applyFont="1">
      <alignment vertical="center"/>
    </xf>
    <xf numFmtId="0" fontId="0" fillId="0" borderId="0" xfId="0"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horizontal="center" vertical="center"/>
    </xf>
    <xf numFmtId="0" fontId="0" fillId="0" borderId="0" xfId="0" applyAlignment="1">
      <alignment vertical="center"/>
    </xf>
    <xf numFmtId="0" fontId="1" fillId="0" borderId="0" xfId="0" applyFont="1" applyAlignment="1">
      <alignment vertical="center"/>
    </xf>
    <xf numFmtId="14" fontId="0" fillId="0" borderId="0" xfId="0" applyNumberFormat="1" applyAlignment="1">
      <alignment horizontal="center" vertical="center"/>
    </xf>
    <xf numFmtId="43" fontId="0" fillId="0" borderId="0" xfId="1" applyFont="1" applyAlignment="1">
      <alignment horizontal="center" vertical="center"/>
    </xf>
    <xf numFmtId="172" fontId="0" fillId="0" borderId="0" xfId="1" applyNumberFormat="1" applyFont="1" applyAlignment="1">
      <alignment horizontal="center" vertical="center"/>
    </xf>
    <xf numFmtId="172" fontId="1" fillId="0" borderId="0" xfId="1" applyNumberFormat="1" applyFont="1" applyAlignment="1">
      <alignment horizontal="center" vertical="center"/>
    </xf>
    <xf numFmtId="0" fontId="0" fillId="0" borderId="0" xfId="0" pivotButton="1">
      <alignment vertical="center"/>
    </xf>
    <xf numFmtId="0" fontId="0" fillId="0" borderId="0" xfId="0" applyAlignment="1">
      <alignment horizontal="left" vertical="center"/>
    </xf>
    <xf numFmtId="0" fontId="0" fillId="0" borderId="0" xfId="0" applyNumberFormat="1">
      <alignment vertical="center"/>
    </xf>
    <xf numFmtId="0" fontId="0" fillId="2" borderId="0" xfId="0" applyFill="1">
      <alignment vertical="center"/>
    </xf>
    <xf numFmtId="0" fontId="0" fillId="2" borderId="4" xfId="0" applyFill="1" applyBorder="1">
      <alignment vertical="center"/>
    </xf>
    <xf numFmtId="0" fontId="0" fillId="2" borderId="1" xfId="0" applyFill="1" applyBorder="1">
      <alignment vertical="center"/>
    </xf>
    <xf numFmtId="0" fontId="0" fillId="2" borderId="2" xfId="0" applyFill="1" applyBorder="1">
      <alignment vertical="center"/>
    </xf>
    <xf numFmtId="0" fontId="0" fillId="2" borderId="3" xfId="0" applyFill="1" applyBorder="1">
      <alignment vertical="center"/>
    </xf>
    <xf numFmtId="0" fontId="0" fillId="2" borderId="0" xfId="0" applyFill="1" applyBorder="1">
      <alignment vertical="center"/>
    </xf>
    <xf numFmtId="0" fontId="0" fillId="2" borderId="5" xfId="0" applyFill="1" applyBorder="1">
      <alignment vertical="center"/>
    </xf>
    <xf numFmtId="0" fontId="0" fillId="2" borderId="6" xfId="0" applyFill="1" applyBorder="1">
      <alignment vertical="center"/>
    </xf>
    <xf numFmtId="0" fontId="0" fillId="2" borderId="7" xfId="0" applyFill="1" applyBorder="1">
      <alignment vertical="center"/>
    </xf>
    <xf numFmtId="0" fontId="0" fillId="2" borderId="8" xfId="0" applyFill="1" applyBorder="1">
      <alignment vertical="center"/>
    </xf>
    <xf numFmtId="0" fontId="4" fillId="2" borderId="0" xfId="0" applyFont="1" applyFill="1" applyBorder="1">
      <alignment vertical="center"/>
    </xf>
  </cellXfs>
  <cellStyles count="2">
    <cellStyle name="Comma" xfId="1" builtinId="3"/>
    <cellStyle name="Normal" xfId="0" builtinId="0"/>
  </cellStyles>
  <dxfs count="19">
    <dxf>
      <numFmt numFmtId="19" formatCode="dd/mm/yyyy"/>
    </dxf>
    <dxf>
      <numFmt numFmtId="19" formatCode="dd/mm/yyyy"/>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[Employee_Sales_1.xlsx]Pivot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solidFill>
            <a:ln>
              <a:noFill/>
            </a:ln>
            <a:effectLst/>
            <a:sp3d/>
          </c:spPr>
          <c:invertIfNegative val="0"/>
          <c:cat>
            <c:strRef>
              <c:f>'Pivot Table'!$A$2:$A$6</c:f>
              <c:strCache>
                <c:ptCount val="4"/>
                <c:pt idx="0">
                  <c:v>Finance</c:v>
                </c:pt>
                <c:pt idx="1">
                  <c:v>HR</c:v>
                </c:pt>
                <c:pt idx="2">
                  <c:v>IT</c:v>
                </c:pt>
                <c:pt idx="3">
                  <c:v>Sales</c:v>
                </c:pt>
              </c:strCache>
            </c:strRef>
          </c:cat>
          <c:val>
            <c:numRef>
              <c:f>'Pivot Table'!$B$2:$B$6</c:f>
              <c:numCache>
                <c:formatCode>General</c:formatCode>
                <c:ptCount val="4"/>
                <c:pt idx="0">
                  <c:v>46</c:v>
                </c:pt>
                <c:pt idx="1">
                  <c:v>54</c:v>
                </c:pt>
                <c:pt idx="2">
                  <c:v>54</c:v>
                </c:pt>
                <c:pt idx="3">
                  <c:v>46</c:v>
                </c:pt>
              </c:numCache>
            </c:numRef>
          </c:val>
          <c:extLst>
            <c:ext xmlns:c16="http://schemas.microsoft.com/office/drawing/2014/chart" uri="{C3380CC4-5D6E-409C-BE32-E72D297353CC}">
              <c16:uniqueId val="{00000000-CBF1-4BEF-94EC-A9C988CE8687}"/>
            </c:ext>
          </c:extLst>
        </c:ser>
        <c:dLbls>
          <c:showLegendKey val="0"/>
          <c:showVal val="0"/>
          <c:showCatName val="0"/>
          <c:showSerName val="0"/>
          <c:showPercent val="0"/>
          <c:showBubbleSize val="0"/>
        </c:dLbls>
        <c:gapWidth val="219"/>
        <c:shape val="box"/>
        <c:axId val="376284559"/>
        <c:axId val="1727355791"/>
        <c:axId val="0"/>
      </c:bar3DChart>
      <c:catAx>
        <c:axId val="37628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355791"/>
        <c:crosses val="autoZero"/>
        <c:auto val="1"/>
        <c:lblAlgn val="ctr"/>
        <c:lblOffset val="100"/>
        <c:noMultiLvlLbl val="0"/>
      </c:catAx>
      <c:valAx>
        <c:axId val="172735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28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[Employee_Sales_1.xlsx]Pivot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c:f>
              <c:strCache>
                <c:ptCount val="1"/>
                <c:pt idx="0">
                  <c:v>Total</c:v>
                </c:pt>
              </c:strCache>
            </c:strRef>
          </c:tx>
          <c:spPr>
            <a:solidFill>
              <a:schemeClr val="accent1"/>
            </a:solidFill>
            <a:ln>
              <a:noFill/>
            </a:ln>
            <a:effectLst/>
          </c:spPr>
          <c:invertIfNegative val="0"/>
          <c:cat>
            <c:strRef>
              <c:f>'Pivot Table'!$D$2:$D$6</c:f>
              <c:strCache>
                <c:ptCount val="4"/>
                <c:pt idx="0">
                  <c:v>Finance</c:v>
                </c:pt>
                <c:pt idx="1">
                  <c:v>HR</c:v>
                </c:pt>
                <c:pt idx="2">
                  <c:v>IT</c:v>
                </c:pt>
                <c:pt idx="3">
                  <c:v>Sales</c:v>
                </c:pt>
              </c:strCache>
            </c:strRef>
          </c:cat>
          <c:val>
            <c:numRef>
              <c:f>'Pivot Table'!$E$2:$E$6</c:f>
              <c:numCache>
                <c:formatCode>General</c:formatCode>
                <c:ptCount val="4"/>
                <c:pt idx="0">
                  <c:v>150548</c:v>
                </c:pt>
                <c:pt idx="1">
                  <c:v>153906</c:v>
                </c:pt>
                <c:pt idx="2">
                  <c:v>146610</c:v>
                </c:pt>
                <c:pt idx="3">
                  <c:v>140068</c:v>
                </c:pt>
              </c:numCache>
            </c:numRef>
          </c:val>
          <c:extLst>
            <c:ext xmlns:c16="http://schemas.microsoft.com/office/drawing/2014/chart" uri="{C3380CC4-5D6E-409C-BE32-E72D297353CC}">
              <c16:uniqueId val="{00000000-63DC-4C34-ABAB-2296B86DD47E}"/>
            </c:ext>
          </c:extLst>
        </c:ser>
        <c:dLbls>
          <c:showLegendKey val="0"/>
          <c:showVal val="0"/>
          <c:showCatName val="0"/>
          <c:showSerName val="0"/>
          <c:showPercent val="0"/>
          <c:showBubbleSize val="0"/>
        </c:dLbls>
        <c:gapWidth val="219"/>
        <c:overlap val="-27"/>
        <c:axId val="503471167"/>
        <c:axId val="200501487"/>
      </c:barChart>
      <c:catAx>
        <c:axId val="50347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1487"/>
        <c:crosses val="autoZero"/>
        <c:auto val="1"/>
        <c:lblAlgn val="ctr"/>
        <c:lblOffset val="100"/>
        <c:noMultiLvlLbl val="0"/>
      </c:catAx>
      <c:valAx>
        <c:axId val="20050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7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 Sales Revenue Dept</a:t>
            </a:r>
          </a:p>
          <a:p>
            <a:pPr>
              <a:defRPr/>
            </a:pPr>
            <a:endParaRPr lang="en-IN"/>
          </a:p>
        </c:rich>
      </c:tx>
      <c:layout>
        <c:manualLayout>
          <c:xMode val="edge"/>
          <c:yMode val="edge"/>
          <c:x val="0.22373415560817139"/>
          <c:y val="4.584814718561366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885039255845529E-2"/>
          <c:y val="0.17890392821437576"/>
          <c:w val="0.76804292446442546"/>
          <c:h val="0.54955945292399722"/>
        </c:manualLayout>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4"/>
              <c:pt idx="0">
                <c:v>Finance</c:v>
              </c:pt>
              <c:pt idx="1">
                <c:v>HR</c:v>
              </c:pt>
              <c:pt idx="2">
                <c:v>IT</c:v>
              </c:pt>
              <c:pt idx="3">
                <c:v>Sales</c:v>
              </c:pt>
            </c:strLit>
          </c:cat>
          <c:val>
            <c:numLit>
              <c:formatCode>General</c:formatCode>
              <c:ptCount val="4"/>
              <c:pt idx="0">
                <c:v>150548</c:v>
              </c:pt>
              <c:pt idx="1">
                <c:v>153906</c:v>
              </c:pt>
              <c:pt idx="2">
                <c:v>146610</c:v>
              </c:pt>
              <c:pt idx="3">
                <c:v>140068</c:v>
              </c:pt>
            </c:numLit>
          </c:val>
          <c:extLst>
            <c:ext xmlns:c16="http://schemas.microsoft.com/office/drawing/2014/chart" uri="{C3380CC4-5D6E-409C-BE32-E72D297353CC}">
              <c16:uniqueId val="{00000000-6343-4514-A702-C252903B2EA7}"/>
            </c:ext>
          </c:extLst>
        </c:ser>
        <c:dLbls>
          <c:dLblPos val="inEnd"/>
          <c:showLegendKey val="0"/>
          <c:showVal val="1"/>
          <c:showCatName val="0"/>
          <c:showSerName val="0"/>
          <c:showPercent val="0"/>
          <c:showBubbleSize val="0"/>
        </c:dLbls>
        <c:gapWidth val="65"/>
        <c:axId val="1890576271"/>
        <c:axId val="200498607"/>
      </c:barChart>
      <c:catAx>
        <c:axId val="1890576271"/>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a:t>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200498607"/>
        <c:crosses val="autoZero"/>
        <c:auto val="1"/>
        <c:lblAlgn val="ctr"/>
        <c:lblOffset val="100"/>
        <c:noMultiLvlLbl val="0"/>
      </c:catAx>
      <c:valAx>
        <c:axId val="200498607"/>
        <c:scaling>
          <c:orientation val="minMax"/>
        </c:scaling>
        <c:delete val="1"/>
        <c:axPos val="l"/>
        <c:title>
          <c:tx>
            <c:rich>
              <a:bodyPr rot="-540000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a:t>Revenue</a:t>
                </a:r>
              </a:p>
            </c:rich>
          </c:tx>
          <c:overlay val="0"/>
          <c:spPr>
            <a:noFill/>
            <a:ln>
              <a:noFill/>
            </a:ln>
            <a:effectLst/>
          </c:spPr>
          <c:txPr>
            <a:bodyPr rot="-540000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89057627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Completed transactions Revenue Donut Chart</a:t>
            </a:r>
          </a:p>
        </c:rich>
      </c:tx>
      <c:layout>
        <c:manualLayout>
          <c:xMode val="edge"/>
          <c:yMode val="edge"/>
          <c:x val="0.17907317073170731"/>
          <c:y val="5.3006003450754659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pPr>
            <a:solidFill>
              <a:schemeClr val="accent1">
                <a:alpha val="85000"/>
              </a:schemeClr>
            </a:solidFill>
            <a:ln>
              <a:no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s>
    <c:plotArea>
      <c:layout>
        <c:manualLayout>
          <c:layoutTarget val="inner"/>
          <c:xMode val="edge"/>
          <c:yMode val="edge"/>
          <c:x val="0.14758600942907216"/>
          <c:y val="0.15059072879048013"/>
          <c:w val="0.67066729198035202"/>
          <c:h val="0.8042964892546326"/>
        </c:manualLayout>
      </c:layout>
      <c:doughnut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ADD-4A42-87C9-9A4B5D27A07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ADD-4A42-87C9-9A4B5D27A07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Completed</c:v>
              </c:pt>
              <c:pt idx="1">
                <c:v>Pending</c:v>
              </c:pt>
            </c:strLit>
          </c:cat>
          <c:val>
            <c:numLit>
              <c:formatCode>General</c:formatCode>
              <c:ptCount val="2"/>
              <c:pt idx="0">
                <c:v>316742</c:v>
              </c:pt>
              <c:pt idx="1">
                <c:v>274390</c:v>
              </c:pt>
            </c:numLit>
          </c:val>
          <c:extLst>
            <c:ext xmlns:c16="http://schemas.microsoft.com/office/drawing/2014/chart" uri="{C3380CC4-5D6E-409C-BE32-E72D297353CC}">
              <c16:uniqueId val="{00000004-2ADD-4A42-87C9-9A4B5D27A07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7796850393700789"/>
          <c:y val="0.68946980859158424"/>
          <c:w val="0.19096274214243442"/>
          <c:h val="0.2005464015095200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Single Transactions (HBC)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Carla Gray</c:v>
              </c:pt>
              <c:pt idx="1">
                <c:v>Jessica Smith</c:v>
              </c:pt>
              <c:pt idx="2">
                <c:v>Lauren Daniels</c:v>
              </c:pt>
              <c:pt idx="3">
                <c:v>Sandra Aguilar</c:v>
              </c:pt>
              <c:pt idx="4">
                <c:v>Timothy Duncan</c:v>
              </c:pt>
            </c:strLit>
          </c:cat>
          <c:val>
            <c:numLit>
              <c:formatCode>General</c:formatCode>
              <c:ptCount val="5"/>
              <c:pt idx="0">
                <c:v>8184</c:v>
              </c:pt>
              <c:pt idx="1">
                <c:v>8918</c:v>
              </c:pt>
              <c:pt idx="2">
                <c:v>8148</c:v>
              </c:pt>
              <c:pt idx="3">
                <c:v>8428</c:v>
              </c:pt>
              <c:pt idx="4">
                <c:v>8370</c:v>
              </c:pt>
            </c:numLit>
          </c:val>
          <c:extLst>
            <c:ext xmlns:c16="http://schemas.microsoft.com/office/drawing/2014/chart" uri="{C3380CC4-5D6E-409C-BE32-E72D297353CC}">
              <c16:uniqueId val="{00000000-A324-4A34-8CBF-1B9E549D9D72}"/>
            </c:ext>
          </c:extLst>
        </c:ser>
        <c:dLbls>
          <c:dLblPos val="inEnd"/>
          <c:showLegendKey val="0"/>
          <c:showVal val="1"/>
          <c:showCatName val="0"/>
          <c:showSerName val="0"/>
          <c:showPercent val="0"/>
          <c:showBubbleSize val="0"/>
        </c:dLbls>
        <c:gapWidth val="65"/>
        <c:axId val="276346927"/>
        <c:axId val="200540367"/>
      </c:barChart>
      <c:catAx>
        <c:axId val="27634692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800" b="0" i="0" u="none" strike="noStrike" kern="1200" cap="all" baseline="0">
                <a:solidFill>
                  <a:schemeClr val="dk1">
                    <a:lumMod val="75000"/>
                    <a:lumOff val="25000"/>
                  </a:schemeClr>
                </a:solidFill>
                <a:latin typeface="+mn-lt"/>
                <a:ea typeface="+mn-ea"/>
                <a:cs typeface="+mn-cs"/>
              </a:defRPr>
            </a:pPr>
            <a:endParaRPr lang="en-US"/>
          </a:p>
        </c:txPr>
        <c:crossAx val="200540367"/>
        <c:crosses val="autoZero"/>
        <c:auto val="1"/>
        <c:lblAlgn val="ctr"/>
        <c:lblOffset val="100"/>
        <c:noMultiLvlLbl val="0"/>
      </c:catAx>
      <c:valAx>
        <c:axId val="200540367"/>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US"/>
          </a:p>
        </c:txPr>
        <c:crossAx val="27634692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a:t>
            </a:r>
            <a:r>
              <a:rPr lang="en-US" baseline="0"/>
              <a:t> Quantity Sold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78"/>
              <c:pt idx="0">
                <c:v>10</c:v>
              </c:pt>
              <c:pt idx="1">
                <c:v>11</c:v>
              </c:pt>
              <c:pt idx="2">
                <c:v>12</c:v>
              </c:pt>
              <c:pt idx="3">
                <c:v>13</c:v>
              </c:pt>
              <c:pt idx="4">
                <c:v>14</c:v>
              </c:pt>
              <c:pt idx="5">
                <c:v>15</c:v>
              </c:pt>
              <c:pt idx="6">
                <c:v>16</c:v>
              </c:pt>
              <c:pt idx="7">
                <c:v>17</c:v>
              </c:pt>
              <c:pt idx="8">
                <c:v>18</c:v>
              </c:pt>
              <c:pt idx="9">
                <c:v>19</c:v>
              </c:pt>
              <c:pt idx="10">
                <c:v>20</c:v>
              </c:pt>
              <c:pt idx="11">
                <c:v>21</c:v>
              </c:pt>
              <c:pt idx="12">
                <c:v>22</c:v>
              </c:pt>
              <c:pt idx="13">
                <c:v>23</c:v>
              </c:pt>
              <c:pt idx="14">
                <c:v>24</c:v>
              </c:pt>
              <c:pt idx="15">
                <c:v>26</c:v>
              </c:pt>
              <c:pt idx="16">
                <c:v>27</c:v>
              </c:pt>
              <c:pt idx="17">
                <c:v>28</c:v>
              </c:pt>
              <c:pt idx="18">
                <c:v>29</c:v>
              </c:pt>
              <c:pt idx="19">
                <c:v>31</c:v>
              </c:pt>
              <c:pt idx="20">
                <c:v>32</c:v>
              </c:pt>
              <c:pt idx="21">
                <c:v>33</c:v>
              </c:pt>
              <c:pt idx="22">
                <c:v>34</c:v>
              </c:pt>
              <c:pt idx="23">
                <c:v>35</c:v>
              </c:pt>
              <c:pt idx="24">
                <c:v>36</c:v>
              </c:pt>
              <c:pt idx="25">
                <c:v>38</c:v>
              </c:pt>
              <c:pt idx="26">
                <c:v>39</c:v>
              </c:pt>
              <c:pt idx="27">
                <c:v>40</c:v>
              </c:pt>
              <c:pt idx="28">
                <c:v>41</c:v>
              </c:pt>
              <c:pt idx="29">
                <c:v>42</c:v>
              </c:pt>
              <c:pt idx="30">
                <c:v>43</c:v>
              </c:pt>
              <c:pt idx="31">
                <c:v>44</c:v>
              </c:pt>
              <c:pt idx="32">
                <c:v>45</c:v>
              </c:pt>
              <c:pt idx="33">
                <c:v>46</c:v>
              </c:pt>
              <c:pt idx="34">
                <c:v>47</c:v>
              </c:pt>
              <c:pt idx="35">
                <c:v>48</c:v>
              </c:pt>
              <c:pt idx="36">
                <c:v>49</c:v>
              </c:pt>
              <c:pt idx="37">
                <c:v>50</c:v>
              </c:pt>
              <c:pt idx="38">
                <c:v>51</c:v>
              </c:pt>
              <c:pt idx="39">
                <c:v>52</c:v>
              </c:pt>
              <c:pt idx="40">
                <c:v>53</c:v>
              </c:pt>
              <c:pt idx="41">
                <c:v>54</c:v>
              </c:pt>
              <c:pt idx="42">
                <c:v>55</c:v>
              </c:pt>
              <c:pt idx="43">
                <c:v>56</c:v>
              </c:pt>
              <c:pt idx="44">
                <c:v>58</c:v>
              </c:pt>
              <c:pt idx="45">
                <c:v>59</c:v>
              </c:pt>
              <c:pt idx="46">
                <c:v>60</c:v>
              </c:pt>
              <c:pt idx="47">
                <c:v>61</c:v>
              </c:pt>
              <c:pt idx="48">
                <c:v>62</c:v>
              </c:pt>
              <c:pt idx="49">
                <c:v>64</c:v>
              </c:pt>
              <c:pt idx="50">
                <c:v>65</c:v>
              </c:pt>
              <c:pt idx="51">
                <c:v>66</c:v>
              </c:pt>
              <c:pt idx="52">
                <c:v>69</c:v>
              </c:pt>
              <c:pt idx="53">
                <c:v>71</c:v>
              </c:pt>
              <c:pt idx="54">
                <c:v>72</c:v>
              </c:pt>
              <c:pt idx="55">
                <c:v>73</c:v>
              </c:pt>
              <c:pt idx="56">
                <c:v>74</c:v>
              </c:pt>
              <c:pt idx="57">
                <c:v>75</c:v>
              </c:pt>
              <c:pt idx="58">
                <c:v>76</c:v>
              </c:pt>
              <c:pt idx="59">
                <c:v>77</c:v>
              </c:pt>
              <c:pt idx="60">
                <c:v>78</c:v>
              </c:pt>
              <c:pt idx="61">
                <c:v>79</c:v>
              </c:pt>
              <c:pt idx="62">
                <c:v>81</c:v>
              </c:pt>
              <c:pt idx="63">
                <c:v>82</c:v>
              </c:pt>
              <c:pt idx="64">
                <c:v>83</c:v>
              </c:pt>
              <c:pt idx="65">
                <c:v>84</c:v>
              </c:pt>
              <c:pt idx="66">
                <c:v>85</c:v>
              </c:pt>
              <c:pt idx="67">
                <c:v>86</c:v>
              </c:pt>
              <c:pt idx="68">
                <c:v>87</c:v>
              </c:pt>
              <c:pt idx="69">
                <c:v>88</c:v>
              </c:pt>
              <c:pt idx="70">
                <c:v>91</c:v>
              </c:pt>
              <c:pt idx="71">
                <c:v>92</c:v>
              </c:pt>
              <c:pt idx="72">
                <c:v>93</c:v>
              </c:pt>
              <c:pt idx="73">
                <c:v>94</c:v>
              </c:pt>
              <c:pt idx="74">
                <c:v>95</c:v>
              </c:pt>
              <c:pt idx="75">
                <c:v>97</c:v>
              </c:pt>
              <c:pt idx="76">
                <c:v>98</c:v>
              </c:pt>
              <c:pt idx="77">
                <c:v>99</c:v>
              </c:pt>
            </c:strLit>
          </c:cat>
          <c:val>
            <c:numLit>
              <c:formatCode>General</c:formatCode>
              <c:ptCount val="78"/>
              <c:pt idx="0">
                <c:v>2</c:v>
              </c:pt>
              <c:pt idx="1">
                <c:v>3</c:v>
              </c:pt>
              <c:pt idx="2">
                <c:v>2</c:v>
              </c:pt>
              <c:pt idx="3">
                <c:v>2</c:v>
              </c:pt>
              <c:pt idx="4">
                <c:v>6</c:v>
              </c:pt>
              <c:pt idx="5">
                <c:v>5</c:v>
              </c:pt>
              <c:pt idx="6">
                <c:v>1</c:v>
              </c:pt>
              <c:pt idx="7">
                <c:v>2</c:v>
              </c:pt>
              <c:pt idx="8">
                <c:v>4</c:v>
              </c:pt>
              <c:pt idx="9">
                <c:v>3</c:v>
              </c:pt>
              <c:pt idx="10">
                <c:v>3</c:v>
              </c:pt>
              <c:pt idx="11">
                <c:v>2</c:v>
              </c:pt>
              <c:pt idx="12">
                <c:v>3</c:v>
              </c:pt>
              <c:pt idx="13">
                <c:v>3</c:v>
              </c:pt>
              <c:pt idx="14">
                <c:v>4</c:v>
              </c:pt>
              <c:pt idx="15">
                <c:v>2</c:v>
              </c:pt>
              <c:pt idx="16">
                <c:v>1</c:v>
              </c:pt>
              <c:pt idx="17">
                <c:v>1</c:v>
              </c:pt>
              <c:pt idx="18">
                <c:v>2</c:v>
              </c:pt>
              <c:pt idx="19">
                <c:v>1</c:v>
              </c:pt>
              <c:pt idx="20">
                <c:v>3</c:v>
              </c:pt>
              <c:pt idx="21">
                <c:v>3</c:v>
              </c:pt>
              <c:pt idx="22">
                <c:v>1</c:v>
              </c:pt>
              <c:pt idx="23">
                <c:v>4</c:v>
              </c:pt>
              <c:pt idx="24">
                <c:v>4</c:v>
              </c:pt>
              <c:pt idx="25">
                <c:v>5</c:v>
              </c:pt>
              <c:pt idx="26">
                <c:v>1</c:v>
              </c:pt>
              <c:pt idx="27">
                <c:v>3</c:v>
              </c:pt>
              <c:pt idx="28">
                <c:v>1</c:v>
              </c:pt>
              <c:pt idx="29">
                <c:v>3</c:v>
              </c:pt>
              <c:pt idx="30">
                <c:v>1</c:v>
              </c:pt>
              <c:pt idx="31">
                <c:v>3</c:v>
              </c:pt>
              <c:pt idx="32">
                <c:v>4</c:v>
              </c:pt>
              <c:pt idx="33">
                <c:v>3</c:v>
              </c:pt>
              <c:pt idx="34">
                <c:v>6</c:v>
              </c:pt>
              <c:pt idx="35">
                <c:v>2</c:v>
              </c:pt>
              <c:pt idx="36">
                <c:v>5</c:v>
              </c:pt>
              <c:pt idx="37">
                <c:v>1</c:v>
              </c:pt>
              <c:pt idx="38">
                <c:v>2</c:v>
              </c:pt>
              <c:pt idx="39">
                <c:v>2</c:v>
              </c:pt>
              <c:pt idx="40">
                <c:v>2</c:v>
              </c:pt>
              <c:pt idx="41">
                <c:v>2</c:v>
              </c:pt>
              <c:pt idx="42">
                <c:v>1</c:v>
              </c:pt>
              <c:pt idx="43">
                <c:v>4</c:v>
              </c:pt>
              <c:pt idx="44">
                <c:v>1</c:v>
              </c:pt>
              <c:pt idx="45">
                <c:v>2</c:v>
              </c:pt>
              <c:pt idx="46">
                <c:v>7</c:v>
              </c:pt>
              <c:pt idx="47">
                <c:v>1</c:v>
              </c:pt>
              <c:pt idx="48">
                <c:v>1</c:v>
              </c:pt>
              <c:pt idx="49">
                <c:v>2</c:v>
              </c:pt>
              <c:pt idx="50">
                <c:v>1</c:v>
              </c:pt>
              <c:pt idx="51">
                <c:v>2</c:v>
              </c:pt>
              <c:pt idx="52">
                <c:v>4</c:v>
              </c:pt>
              <c:pt idx="53">
                <c:v>4</c:v>
              </c:pt>
              <c:pt idx="54">
                <c:v>2</c:v>
              </c:pt>
              <c:pt idx="55">
                <c:v>4</c:v>
              </c:pt>
              <c:pt idx="56">
                <c:v>1</c:v>
              </c:pt>
              <c:pt idx="57">
                <c:v>4</c:v>
              </c:pt>
              <c:pt idx="58">
                <c:v>1</c:v>
              </c:pt>
              <c:pt idx="59">
                <c:v>4</c:v>
              </c:pt>
              <c:pt idx="60">
                <c:v>2</c:v>
              </c:pt>
              <c:pt idx="61">
                <c:v>2</c:v>
              </c:pt>
              <c:pt idx="62">
                <c:v>5</c:v>
              </c:pt>
              <c:pt idx="63">
                <c:v>1</c:v>
              </c:pt>
              <c:pt idx="64">
                <c:v>2</c:v>
              </c:pt>
              <c:pt idx="65">
                <c:v>4</c:v>
              </c:pt>
              <c:pt idx="66">
                <c:v>3</c:v>
              </c:pt>
              <c:pt idx="67">
                <c:v>1</c:v>
              </c:pt>
              <c:pt idx="68">
                <c:v>4</c:v>
              </c:pt>
              <c:pt idx="69">
                <c:v>2</c:v>
              </c:pt>
              <c:pt idx="70">
                <c:v>1</c:v>
              </c:pt>
              <c:pt idx="71">
                <c:v>1</c:v>
              </c:pt>
              <c:pt idx="72">
                <c:v>3</c:v>
              </c:pt>
              <c:pt idx="73">
                <c:v>1</c:v>
              </c:pt>
              <c:pt idx="74">
                <c:v>2</c:v>
              </c:pt>
              <c:pt idx="75">
                <c:v>1</c:v>
              </c:pt>
              <c:pt idx="76">
                <c:v>3</c:v>
              </c:pt>
              <c:pt idx="77">
                <c:v>3</c:v>
              </c:pt>
            </c:numLit>
          </c:val>
          <c:extLst>
            <c:ext xmlns:c16="http://schemas.microsoft.com/office/drawing/2014/chart" uri="{C3380CC4-5D6E-409C-BE32-E72D297353CC}">
              <c16:uniqueId val="{00000000-937F-454E-B806-372266F42298}"/>
            </c:ext>
          </c:extLst>
        </c:ser>
        <c:dLbls>
          <c:dLblPos val="inEnd"/>
          <c:showLegendKey val="0"/>
          <c:showVal val="1"/>
          <c:showCatName val="0"/>
          <c:showSerName val="0"/>
          <c:showPercent val="0"/>
          <c:showBubbleSize val="0"/>
        </c:dLbls>
        <c:gapWidth val="65"/>
        <c:axId val="376303119"/>
        <c:axId val="200542287"/>
      </c:barChart>
      <c:catAx>
        <c:axId val="3763031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0542287"/>
        <c:crosses val="autoZero"/>
        <c:auto val="1"/>
        <c:lblAlgn val="ctr"/>
        <c:lblOffset val="100"/>
        <c:noMultiLvlLbl val="0"/>
      </c:catAx>
      <c:valAx>
        <c:axId val="20054228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7630311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 Trend over Time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1"/>
              <c:pt idx="0">
                <c:v>01-11-2024</c:v>
              </c:pt>
              <c:pt idx="1">
                <c:v>02-11-2024</c:v>
              </c:pt>
              <c:pt idx="2">
                <c:v>03-11-2024</c:v>
              </c:pt>
              <c:pt idx="3">
                <c:v>04-11-2024</c:v>
              </c:pt>
              <c:pt idx="4">
                <c:v>05-11-2024</c:v>
              </c:pt>
              <c:pt idx="5">
                <c:v>06-11-2024</c:v>
              </c:pt>
              <c:pt idx="6">
                <c:v>07-11-2024</c:v>
              </c:pt>
              <c:pt idx="7">
                <c:v>08-11-2024</c:v>
              </c:pt>
              <c:pt idx="8">
                <c:v>09-11-2024</c:v>
              </c:pt>
              <c:pt idx="9">
                <c:v>10-11-2024</c:v>
              </c:pt>
              <c:pt idx="10">
                <c:v>11-11-2024</c:v>
              </c:pt>
              <c:pt idx="11">
                <c:v>12-11-2024</c:v>
              </c:pt>
              <c:pt idx="12">
                <c:v>13-11-2024</c:v>
              </c:pt>
              <c:pt idx="13">
                <c:v>14-11-2024</c:v>
              </c:pt>
              <c:pt idx="14">
                <c:v>15-11-2024</c:v>
              </c:pt>
              <c:pt idx="15">
                <c:v>16-11-2024</c:v>
              </c:pt>
              <c:pt idx="16">
                <c:v>17-11-2024</c:v>
              </c:pt>
              <c:pt idx="17">
                <c:v>18-11-2024</c:v>
              </c:pt>
              <c:pt idx="18">
                <c:v>19-11-2024</c:v>
              </c:pt>
              <c:pt idx="19">
                <c:v>20-11-2024</c:v>
              </c:pt>
              <c:pt idx="20">
                <c:v>21-11-2024</c:v>
              </c:pt>
              <c:pt idx="21">
                <c:v>22-11-2024</c:v>
              </c:pt>
              <c:pt idx="22">
                <c:v>23-11-2024</c:v>
              </c:pt>
              <c:pt idx="23">
                <c:v>24-11-2024</c:v>
              </c:pt>
              <c:pt idx="24">
                <c:v>25-11-2024</c:v>
              </c:pt>
              <c:pt idx="25">
                <c:v>26-11-2024</c:v>
              </c:pt>
              <c:pt idx="26">
                <c:v>27-11-2024</c:v>
              </c:pt>
              <c:pt idx="27">
                <c:v>28-11-2024</c:v>
              </c:pt>
              <c:pt idx="28">
                <c:v>29-11-2024</c:v>
              </c:pt>
              <c:pt idx="29">
                <c:v>30-11-2024</c:v>
              </c:pt>
              <c:pt idx="30">
                <c:v>(blank)</c:v>
              </c:pt>
            </c:strLit>
          </c:cat>
          <c:val>
            <c:numLit>
              <c:formatCode>General</c:formatCode>
              <c:ptCount val="31"/>
              <c:pt idx="0">
                <c:v>34000</c:v>
              </c:pt>
              <c:pt idx="1">
                <c:v>10410</c:v>
              </c:pt>
              <c:pt idx="2">
                <c:v>25874</c:v>
              </c:pt>
              <c:pt idx="3">
                <c:v>17832</c:v>
              </c:pt>
              <c:pt idx="4">
                <c:v>32161</c:v>
              </c:pt>
              <c:pt idx="5">
                <c:v>2217</c:v>
              </c:pt>
              <c:pt idx="6">
                <c:v>16342</c:v>
              </c:pt>
              <c:pt idx="7">
                <c:v>15055</c:v>
              </c:pt>
              <c:pt idx="8">
                <c:v>9906</c:v>
              </c:pt>
              <c:pt idx="9">
                <c:v>20635</c:v>
              </c:pt>
              <c:pt idx="10">
                <c:v>14938</c:v>
              </c:pt>
              <c:pt idx="11">
                <c:v>36391</c:v>
              </c:pt>
              <c:pt idx="12">
                <c:v>20723</c:v>
              </c:pt>
              <c:pt idx="13">
                <c:v>14194</c:v>
              </c:pt>
              <c:pt idx="14">
                <c:v>9330</c:v>
              </c:pt>
              <c:pt idx="15">
                <c:v>15632</c:v>
              </c:pt>
              <c:pt idx="16">
                <c:v>23657</c:v>
              </c:pt>
              <c:pt idx="17">
                <c:v>16764</c:v>
              </c:pt>
              <c:pt idx="18">
                <c:v>13056</c:v>
              </c:pt>
              <c:pt idx="19">
                <c:v>21771</c:v>
              </c:pt>
              <c:pt idx="20">
                <c:v>17266</c:v>
              </c:pt>
              <c:pt idx="21">
                <c:v>30858</c:v>
              </c:pt>
              <c:pt idx="22">
                <c:v>20510</c:v>
              </c:pt>
              <c:pt idx="23">
                <c:v>16982</c:v>
              </c:pt>
              <c:pt idx="24">
                <c:v>14511</c:v>
              </c:pt>
              <c:pt idx="25">
                <c:v>49803</c:v>
              </c:pt>
              <c:pt idx="26">
                <c:v>2016</c:v>
              </c:pt>
              <c:pt idx="27">
                <c:v>14663</c:v>
              </c:pt>
              <c:pt idx="28">
                <c:v>29194</c:v>
              </c:pt>
              <c:pt idx="29">
                <c:v>24441</c:v>
              </c:pt>
              <c:pt idx="30">
                <c:v>0</c:v>
              </c:pt>
            </c:numLit>
          </c:val>
          <c:smooth val="0"/>
          <c:extLst>
            <c:ext xmlns:c16="http://schemas.microsoft.com/office/drawing/2014/chart" uri="{C3380CC4-5D6E-409C-BE32-E72D297353CC}">
              <c16:uniqueId val="{00000000-54F4-424F-9089-51A60FC71F0C}"/>
            </c:ext>
          </c:extLst>
        </c:ser>
        <c:dLbls>
          <c:dLblPos val="ctr"/>
          <c:showLegendKey val="0"/>
          <c:showVal val="1"/>
          <c:showCatName val="0"/>
          <c:showSerName val="0"/>
          <c:showPercent val="0"/>
          <c:showBubbleSize val="0"/>
        </c:dLbls>
        <c:marker val="1"/>
        <c:smooth val="0"/>
        <c:axId val="99494047"/>
        <c:axId val="200502927"/>
      </c:lineChart>
      <c:catAx>
        <c:axId val="9949404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200502927"/>
        <c:crosses val="autoZero"/>
        <c:auto val="1"/>
        <c:lblAlgn val="ctr"/>
        <c:lblOffset val="100"/>
        <c:noMultiLvlLbl val="0"/>
      </c:catAx>
      <c:valAx>
        <c:axId val="20050292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9949404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[Employee_Sales_1.xlsx]Pivot Table!PivotTable10</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Headcount</a:t>
            </a:r>
            <a:r>
              <a:rPr lang="en-US" baseline="0"/>
              <a:t> by Dept</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Table'!$A$2:$A$6</c:f>
              <c:strCache>
                <c:ptCount val="4"/>
                <c:pt idx="0">
                  <c:v>Finance</c:v>
                </c:pt>
                <c:pt idx="1">
                  <c:v>HR</c:v>
                </c:pt>
                <c:pt idx="2">
                  <c:v>IT</c:v>
                </c:pt>
                <c:pt idx="3">
                  <c:v>Sales</c:v>
                </c:pt>
              </c:strCache>
            </c:strRef>
          </c:cat>
          <c:val>
            <c:numRef>
              <c:f>'Pivot Table'!$B$2:$B$6</c:f>
              <c:numCache>
                <c:formatCode>General</c:formatCode>
                <c:ptCount val="4"/>
                <c:pt idx="0">
                  <c:v>46</c:v>
                </c:pt>
                <c:pt idx="1">
                  <c:v>54</c:v>
                </c:pt>
                <c:pt idx="2">
                  <c:v>54</c:v>
                </c:pt>
                <c:pt idx="3">
                  <c:v>46</c:v>
                </c:pt>
              </c:numCache>
            </c:numRef>
          </c:val>
          <c:extLst>
            <c:ext xmlns:c16="http://schemas.microsoft.com/office/drawing/2014/chart" uri="{C3380CC4-5D6E-409C-BE32-E72D297353CC}">
              <c16:uniqueId val="{00000000-BB78-4903-B888-DE69904BC4C4}"/>
            </c:ext>
          </c:extLst>
        </c:ser>
        <c:dLbls>
          <c:showLegendKey val="0"/>
          <c:showVal val="0"/>
          <c:showCatName val="0"/>
          <c:showSerName val="0"/>
          <c:showPercent val="0"/>
          <c:showBubbleSize val="0"/>
        </c:dLbls>
        <c:gapWidth val="65"/>
        <c:shape val="box"/>
        <c:axId val="376284559"/>
        <c:axId val="1727355791"/>
        <c:axId val="0"/>
      </c:bar3DChart>
      <c:catAx>
        <c:axId val="376284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600" b="0" i="0" u="none" strike="noStrike" kern="1200" cap="all" baseline="0">
                <a:solidFill>
                  <a:schemeClr val="dk1">
                    <a:lumMod val="75000"/>
                    <a:lumOff val="25000"/>
                  </a:schemeClr>
                </a:solidFill>
                <a:latin typeface="+mn-lt"/>
                <a:ea typeface="+mn-ea"/>
                <a:cs typeface="+mn-cs"/>
              </a:defRPr>
            </a:pPr>
            <a:endParaRPr lang="en-US"/>
          </a:p>
        </c:txPr>
        <c:crossAx val="1727355791"/>
        <c:crosses val="autoZero"/>
        <c:auto val="1"/>
        <c:lblAlgn val="ctr"/>
        <c:lblOffset val="100"/>
        <c:noMultiLvlLbl val="0"/>
      </c:catAx>
      <c:valAx>
        <c:axId val="17273557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dk1">
                    <a:lumMod val="75000"/>
                    <a:lumOff val="25000"/>
                  </a:schemeClr>
                </a:solidFill>
                <a:latin typeface="+mn-lt"/>
                <a:ea typeface="+mn-ea"/>
                <a:cs typeface="+mn-cs"/>
              </a:defRPr>
            </a:pPr>
            <a:endParaRPr lang="en-US"/>
          </a:p>
        </c:txPr>
        <c:crossAx val="376284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136525</xdr:colOff>
      <xdr:row>6</xdr:row>
      <xdr:rowOff>88900</xdr:rowOff>
    </xdr:from>
    <xdr:to>
      <xdr:col>2</xdr:col>
      <xdr:colOff>0</xdr:colOff>
      <xdr:row>16</xdr:row>
      <xdr:rowOff>22412</xdr:rowOff>
    </xdr:to>
    <xdr:graphicFrame macro="">
      <xdr:nvGraphicFramePr>
        <xdr:cNvPr id="8" name="Chart 7">
          <a:extLst>
            <a:ext uri="{FF2B5EF4-FFF2-40B4-BE49-F238E27FC236}">
              <a16:creationId xmlns:a16="http://schemas.microsoft.com/office/drawing/2014/main" id="{A3AEF3B7-BD79-A86B-3815-4D5F3643A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6</xdr:row>
      <xdr:rowOff>174812</xdr:rowOff>
    </xdr:from>
    <xdr:to>
      <xdr:col>5</xdr:col>
      <xdr:colOff>134470</xdr:colOff>
      <xdr:row>21</xdr:row>
      <xdr:rowOff>59764</xdr:rowOff>
    </xdr:to>
    <xdr:graphicFrame macro="">
      <xdr:nvGraphicFramePr>
        <xdr:cNvPr id="9" name="Chart 8">
          <a:extLst>
            <a:ext uri="{FF2B5EF4-FFF2-40B4-BE49-F238E27FC236}">
              <a16:creationId xmlns:a16="http://schemas.microsoft.com/office/drawing/2014/main" id="{376694A4-CE11-9A54-F081-65C8194344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18143</xdr:rowOff>
    </xdr:from>
    <xdr:ext cx="27166454" cy="553357"/>
    <xdr:sp macro="" textlink="">
      <xdr:nvSpPr>
        <xdr:cNvPr id="2" name="TextBox 1">
          <a:extLst>
            <a:ext uri="{FF2B5EF4-FFF2-40B4-BE49-F238E27FC236}">
              <a16:creationId xmlns:a16="http://schemas.microsoft.com/office/drawing/2014/main" id="{D00CDE86-8FF0-B2F3-FD80-5B6F83C42A31}"/>
            </a:ext>
          </a:extLst>
        </xdr:cNvPr>
        <xdr:cNvSpPr txBox="1"/>
      </xdr:nvSpPr>
      <xdr:spPr>
        <a:xfrm>
          <a:off x="603250" y="208643"/>
          <a:ext cx="27166454" cy="553357"/>
        </a:xfrm>
        <a:prstGeom prst="rect">
          <a:avLst/>
        </a:prstGeom>
        <a:solidFill>
          <a:schemeClr val="accent5">
            <a:lumMod val="50000"/>
            <a:alpha val="97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800" b="1">
              <a:solidFill>
                <a:schemeClr val="bg1"/>
              </a:solidFill>
            </a:rPr>
            <a:t>SALES AND</a:t>
          </a:r>
          <a:r>
            <a:rPr lang="en-IN" sz="2800" b="1" baseline="0">
              <a:solidFill>
                <a:schemeClr val="bg1"/>
              </a:solidFill>
            </a:rPr>
            <a:t> ORDERS PERFORMANCE</a:t>
          </a:r>
        </a:p>
        <a:p>
          <a:pPr algn="ctr"/>
          <a:endParaRPr lang="en-IN" sz="1100">
            <a:solidFill>
              <a:schemeClr val="bg1"/>
            </a:solidFill>
          </a:endParaRPr>
        </a:p>
      </xdr:txBody>
    </xdr:sp>
    <xdr:clientData/>
  </xdr:oneCellAnchor>
  <xdr:oneCellAnchor>
    <xdr:from>
      <xdr:col>1</xdr:col>
      <xdr:colOff>9114</xdr:colOff>
      <xdr:row>4</xdr:row>
      <xdr:rowOff>17690</xdr:rowOff>
    </xdr:from>
    <xdr:ext cx="19502704" cy="535667"/>
    <xdr:sp macro="" textlink="">
      <xdr:nvSpPr>
        <xdr:cNvPr id="3" name="TextBox 2">
          <a:extLst>
            <a:ext uri="{FF2B5EF4-FFF2-40B4-BE49-F238E27FC236}">
              <a16:creationId xmlns:a16="http://schemas.microsoft.com/office/drawing/2014/main" id="{60678769-18C5-47B1-8857-669403F0717C}"/>
            </a:ext>
          </a:extLst>
        </xdr:cNvPr>
        <xdr:cNvSpPr txBox="1"/>
      </xdr:nvSpPr>
      <xdr:spPr>
        <a:xfrm>
          <a:off x="9114" y="571872"/>
          <a:ext cx="19502704" cy="535667"/>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solidFill>
                <a:schemeClr val="bg1"/>
              </a:solidFill>
            </a:rPr>
            <a:t>KPI CARDS</a:t>
          </a:r>
        </a:p>
      </xdr:txBody>
    </xdr:sp>
    <xdr:clientData/>
  </xdr:oneCellAnchor>
  <xdr:oneCellAnchor>
    <xdr:from>
      <xdr:col>1</xdr:col>
      <xdr:colOff>4186</xdr:colOff>
      <xdr:row>6</xdr:row>
      <xdr:rowOff>170264</xdr:rowOff>
    </xdr:from>
    <xdr:ext cx="2422071" cy="562427"/>
    <xdr:sp macro="" textlink="">
      <xdr:nvSpPr>
        <xdr:cNvPr id="4" name="TextBox 3">
          <a:extLst>
            <a:ext uri="{FF2B5EF4-FFF2-40B4-BE49-F238E27FC236}">
              <a16:creationId xmlns:a16="http://schemas.microsoft.com/office/drawing/2014/main" id="{CA0EA90F-A935-217B-137D-CC71598F6179}"/>
            </a:ext>
          </a:extLst>
        </xdr:cNvPr>
        <xdr:cNvSpPr txBox="1"/>
      </xdr:nvSpPr>
      <xdr:spPr>
        <a:xfrm>
          <a:off x="4186" y="1098341"/>
          <a:ext cx="2422071"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Total Sales Revenue Dept</a:t>
          </a:r>
        </a:p>
      </xdr:txBody>
    </xdr:sp>
    <xdr:clientData/>
  </xdr:oneCellAnchor>
  <xdr:oneCellAnchor>
    <xdr:from>
      <xdr:col>4</xdr:col>
      <xdr:colOff>565665</xdr:colOff>
      <xdr:row>6</xdr:row>
      <xdr:rowOff>170793</xdr:rowOff>
    </xdr:from>
    <xdr:ext cx="3151971" cy="568116"/>
    <xdr:sp macro="" textlink="">
      <xdr:nvSpPr>
        <xdr:cNvPr id="5" name="TextBox 4">
          <a:extLst>
            <a:ext uri="{FF2B5EF4-FFF2-40B4-BE49-F238E27FC236}">
              <a16:creationId xmlns:a16="http://schemas.microsoft.com/office/drawing/2014/main" id="{5AAA99AF-45C6-41CA-A8ED-BFC2E793D0A3}"/>
            </a:ext>
          </a:extLst>
        </xdr:cNvPr>
        <xdr:cNvSpPr txBox="1"/>
      </xdr:nvSpPr>
      <xdr:spPr>
        <a:xfrm>
          <a:off x="2401392" y="1094429"/>
          <a:ext cx="3151971" cy="568116"/>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Completed</a:t>
          </a:r>
          <a:r>
            <a:rPr lang="en-IN" sz="1600" b="1" baseline="0">
              <a:solidFill>
                <a:schemeClr val="bg1"/>
              </a:solidFill>
            </a:rPr>
            <a:t> Transactions Revenue</a:t>
          </a:r>
          <a:endParaRPr lang="en-IN" sz="1600" b="1">
            <a:solidFill>
              <a:schemeClr val="bg1"/>
            </a:solidFill>
          </a:endParaRPr>
        </a:p>
      </xdr:txBody>
    </xdr:sp>
    <xdr:clientData/>
  </xdr:oneCellAnchor>
  <xdr:oneCellAnchor>
    <xdr:from>
      <xdr:col>10</xdr:col>
      <xdr:colOff>13922</xdr:colOff>
      <xdr:row>6</xdr:row>
      <xdr:rowOff>171900</xdr:rowOff>
    </xdr:from>
    <xdr:ext cx="2422071" cy="562427"/>
    <xdr:sp macro="" textlink="">
      <xdr:nvSpPr>
        <xdr:cNvPr id="6" name="TextBox 5">
          <a:extLst>
            <a:ext uri="{FF2B5EF4-FFF2-40B4-BE49-F238E27FC236}">
              <a16:creationId xmlns:a16="http://schemas.microsoft.com/office/drawing/2014/main" id="{08A6DA6A-F927-4EE1-8161-BA1A6425846B}"/>
            </a:ext>
          </a:extLst>
        </xdr:cNvPr>
        <xdr:cNvSpPr txBox="1"/>
      </xdr:nvSpPr>
      <xdr:spPr>
        <a:xfrm>
          <a:off x="5527216" y="1105724"/>
          <a:ext cx="2422071"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Highest</a:t>
          </a:r>
          <a:r>
            <a:rPr lang="en-IN" sz="1600" b="1" baseline="0">
              <a:solidFill>
                <a:schemeClr val="bg1"/>
              </a:solidFill>
            </a:rPr>
            <a:t> Single Transaction</a:t>
          </a:r>
          <a:endParaRPr lang="en-IN" sz="1600" b="1">
            <a:solidFill>
              <a:schemeClr val="bg1"/>
            </a:solidFill>
          </a:endParaRPr>
        </a:p>
      </xdr:txBody>
    </xdr:sp>
    <xdr:clientData/>
  </xdr:oneCellAnchor>
  <xdr:oneCellAnchor>
    <xdr:from>
      <xdr:col>13</xdr:col>
      <xdr:colOff>585651</xdr:colOff>
      <xdr:row>6</xdr:row>
      <xdr:rowOff>182216</xdr:rowOff>
    </xdr:from>
    <xdr:ext cx="2422071" cy="562427"/>
    <xdr:sp macro="" textlink="">
      <xdr:nvSpPr>
        <xdr:cNvPr id="7" name="TextBox 6">
          <a:extLst>
            <a:ext uri="{FF2B5EF4-FFF2-40B4-BE49-F238E27FC236}">
              <a16:creationId xmlns:a16="http://schemas.microsoft.com/office/drawing/2014/main" id="{BD716163-DF27-4774-815E-2E32B7A9BC62}"/>
            </a:ext>
          </a:extLst>
        </xdr:cNvPr>
        <xdr:cNvSpPr txBox="1"/>
      </xdr:nvSpPr>
      <xdr:spPr>
        <a:xfrm>
          <a:off x="7874347" y="1093303"/>
          <a:ext cx="2422071"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Average</a:t>
          </a:r>
          <a:r>
            <a:rPr lang="en-IN" sz="1600" b="1" baseline="0">
              <a:solidFill>
                <a:schemeClr val="bg1"/>
              </a:solidFill>
            </a:rPr>
            <a:t> Quantity Sold</a:t>
          </a:r>
          <a:endParaRPr lang="en-IN" sz="1600" b="1">
            <a:solidFill>
              <a:schemeClr val="bg1"/>
            </a:solidFill>
          </a:endParaRPr>
        </a:p>
      </xdr:txBody>
    </xdr:sp>
    <xdr:clientData/>
  </xdr:oneCellAnchor>
  <xdr:oneCellAnchor>
    <xdr:from>
      <xdr:col>17</xdr:col>
      <xdr:colOff>508000</xdr:colOff>
      <xdr:row>7</xdr:row>
      <xdr:rowOff>0</xdr:rowOff>
    </xdr:from>
    <xdr:ext cx="2422071" cy="562427"/>
    <xdr:sp macro="" textlink="">
      <xdr:nvSpPr>
        <xdr:cNvPr id="8" name="TextBox 7">
          <a:extLst>
            <a:ext uri="{FF2B5EF4-FFF2-40B4-BE49-F238E27FC236}">
              <a16:creationId xmlns:a16="http://schemas.microsoft.com/office/drawing/2014/main" id="{193E9B3B-BFDB-46DE-8BEC-76173C0378ED}"/>
            </a:ext>
          </a:extLst>
        </xdr:cNvPr>
        <xdr:cNvSpPr txBox="1"/>
      </xdr:nvSpPr>
      <xdr:spPr>
        <a:xfrm>
          <a:off x="10298545" y="1108364"/>
          <a:ext cx="2422071"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Earliest</a:t>
          </a:r>
          <a:r>
            <a:rPr lang="en-IN" sz="1600" b="1" baseline="0">
              <a:solidFill>
                <a:schemeClr val="bg1"/>
              </a:solidFill>
            </a:rPr>
            <a:t> Order Date</a:t>
          </a:r>
          <a:endParaRPr lang="en-IN" sz="1600" b="1">
            <a:solidFill>
              <a:schemeClr val="bg1"/>
            </a:solidFill>
          </a:endParaRPr>
        </a:p>
      </xdr:txBody>
    </xdr:sp>
    <xdr:clientData/>
  </xdr:oneCellAnchor>
  <xdr:oneCellAnchor>
    <xdr:from>
      <xdr:col>21</xdr:col>
      <xdr:colOff>450272</xdr:colOff>
      <xdr:row>7</xdr:row>
      <xdr:rowOff>0</xdr:rowOff>
    </xdr:from>
    <xdr:ext cx="2422071" cy="562427"/>
    <xdr:sp macro="" textlink="">
      <xdr:nvSpPr>
        <xdr:cNvPr id="9" name="TextBox 8">
          <a:extLst>
            <a:ext uri="{FF2B5EF4-FFF2-40B4-BE49-F238E27FC236}">
              <a16:creationId xmlns:a16="http://schemas.microsoft.com/office/drawing/2014/main" id="{8A6AAD44-8D30-4BF3-A222-4522DB79BFDD}"/>
            </a:ext>
          </a:extLst>
        </xdr:cNvPr>
        <xdr:cNvSpPr txBox="1"/>
      </xdr:nvSpPr>
      <xdr:spPr>
        <a:xfrm>
          <a:off x="12688454" y="1108364"/>
          <a:ext cx="2422071"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HR</a:t>
          </a:r>
          <a:r>
            <a:rPr lang="en-IN" sz="1600" b="1" baseline="0">
              <a:solidFill>
                <a:schemeClr val="bg1"/>
              </a:solidFill>
            </a:rPr>
            <a:t> </a:t>
          </a:r>
          <a:r>
            <a:rPr lang="en-IN" sz="1600" b="1">
              <a:solidFill>
                <a:schemeClr val="bg1"/>
              </a:solidFill>
            </a:rPr>
            <a:t>Dept Headcount</a:t>
          </a:r>
        </a:p>
      </xdr:txBody>
    </xdr:sp>
    <xdr:clientData/>
  </xdr:oneCellAnchor>
  <xdr:oneCellAnchor>
    <xdr:from>
      <xdr:col>25</xdr:col>
      <xdr:colOff>0</xdr:colOff>
      <xdr:row>7</xdr:row>
      <xdr:rowOff>0</xdr:rowOff>
    </xdr:from>
    <xdr:ext cx="4916714" cy="562427"/>
    <xdr:sp macro="" textlink="">
      <xdr:nvSpPr>
        <xdr:cNvPr id="10" name="TextBox 9">
          <a:extLst>
            <a:ext uri="{FF2B5EF4-FFF2-40B4-BE49-F238E27FC236}">
              <a16:creationId xmlns:a16="http://schemas.microsoft.com/office/drawing/2014/main" id="{4AE04E8D-1EC3-4D86-99EE-3DFD80AAD4B2}"/>
            </a:ext>
          </a:extLst>
        </xdr:cNvPr>
        <xdr:cNvSpPr txBox="1"/>
      </xdr:nvSpPr>
      <xdr:spPr>
        <a:xfrm>
          <a:off x="14586857" y="1088571"/>
          <a:ext cx="4916714" cy="562427"/>
        </a:xfrm>
        <a:prstGeom prst="rect">
          <a:avLst/>
        </a:prstGeom>
        <a:solidFill>
          <a:schemeClr val="accent1">
            <a:lumMod val="7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1">
              <a:solidFill>
                <a:schemeClr val="bg1"/>
              </a:solidFill>
            </a:rPr>
            <a:t>Maximum</a:t>
          </a:r>
          <a:r>
            <a:rPr lang="en-IN" sz="1600" b="1" baseline="0">
              <a:solidFill>
                <a:schemeClr val="bg1"/>
              </a:solidFill>
            </a:rPr>
            <a:t> Delivery Time(Days)</a:t>
          </a:r>
          <a:endParaRPr lang="en-IN" sz="1600" b="1">
            <a:solidFill>
              <a:schemeClr val="bg1"/>
            </a:solidFill>
          </a:endParaRPr>
        </a:p>
      </xdr:txBody>
    </xdr:sp>
    <xdr:clientData/>
  </xdr:oneCellAnchor>
  <xdr:oneCellAnchor>
    <xdr:from>
      <xdr:col>1</xdr:col>
      <xdr:colOff>0</xdr:colOff>
      <xdr:row>9</xdr:row>
      <xdr:rowOff>179549</xdr:rowOff>
    </xdr:from>
    <xdr:ext cx="2439276" cy="551795"/>
    <xdr:sp macro="" textlink="Calculations!D2">
      <xdr:nvSpPr>
        <xdr:cNvPr id="12" name="TextBox 11">
          <a:extLst>
            <a:ext uri="{FF2B5EF4-FFF2-40B4-BE49-F238E27FC236}">
              <a16:creationId xmlns:a16="http://schemas.microsoft.com/office/drawing/2014/main" id="{B75325F0-8E9A-C15B-AADD-92B47B6D467B}"/>
            </a:ext>
          </a:extLst>
        </xdr:cNvPr>
        <xdr:cNvSpPr txBox="1"/>
      </xdr:nvSpPr>
      <xdr:spPr>
        <a:xfrm>
          <a:off x="0" y="1650997"/>
          <a:ext cx="2439276" cy="5517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13E1A1C-3989-4463-85E8-2BFDB02BADD0}" type="TxLink">
            <a:rPr lang="en-US" sz="1800" b="1" i="0" u="none" strike="noStrike">
              <a:solidFill>
                <a:srgbClr val="000000"/>
              </a:solidFill>
              <a:latin typeface="Calibri"/>
              <a:ea typeface="Calibri"/>
              <a:cs typeface="Calibri"/>
            </a:rPr>
            <a:pPr algn="ctr"/>
            <a:t> 1,40,068 </a:t>
          </a:fld>
          <a:endParaRPr lang="en-IN" sz="1800" b="1"/>
        </a:p>
      </xdr:txBody>
    </xdr:sp>
    <xdr:clientData/>
  </xdr:oneCellAnchor>
  <xdr:oneCellAnchor>
    <xdr:from>
      <xdr:col>4</xdr:col>
      <xdr:colOff>611908</xdr:colOff>
      <xdr:row>10</xdr:row>
      <xdr:rowOff>0</xdr:rowOff>
    </xdr:from>
    <xdr:ext cx="3071091" cy="551795"/>
    <xdr:sp macro="" textlink="Calculations!D3">
      <xdr:nvSpPr>
        <xdr:cNvPr id="13" name="TextBox 12">
          <a:extLst>
            <a:ext uri="{FF2B5EF4-FFF2-40B4-BE49-F238E27FC236}">
              <a16:creationId xmlns:a16="http://schemas.microsoft.com/office/drawing/2014/main" id="{A7C47C78-5468-471B-9483-4A70EE73E4EE}"/>
            </a:ext>
          </a:extLst>
        </xdr:cNvPr>
        <xdr:cNvSpPr txBox="1"/>
      </xdr:nvSpPr>
      <xdr:spPr>
        <a:xfrm>
          <a:off x="2447635" y="1662545"/>
          <a:ext cx="3071091" cy="5517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C29C839-4DB2-4646-B03F-A59378A1439B}" type="TxLink">
            <a:rPr lang="en-US" sz="1800" b="1" i="0" u="none" strike="noStrike">
              <a:solidFill>
                <a:srgbClr val="000000"/>
              </a:solidFill>
              <a:latin typeface="Calibri"/>
              <a:ea typeface="Calibri"/>
              <a:cs typeface="Calibri"/>
            </a:rPr>
            <a:t> 3,16,742 </a:t>
          </a:fld>
          <a:endParaRPr lang="en-IN" sz="1800" b="1"/>
        </a:p>
      </xdr:txBody>
    </xdr:sp>
    <xdr:clientData/>
  </xdr:oneCellAnchor>
  <xdr:oneCellAnchor>
    <xdr:from>
      <xdr:col>9</xdr:col>
      <xdr:colOff>596850</xdr:colOff>
      <xdr:row>10</xdr:row>
      <xdr:rowOff>1</xdr:rowOff>
    </xdr:from>
    <xdr:ext cx="2456672" cy="552296"/>
    <xdr:sp macro="" textlink="Calculations!D4">
      <xdr:nvSpPr>
        <xdr:cNvPr id="14" name="TextBox 13">
          <a:extLst>
            <a:ext uri="{FF2B5EF4-FFF2-40B4-BE49-F238E27FC236}">
              <a16:creationId xmlns:a16="http://schemas.microsoft.com/office/drawing/2014/main" id="{13FF7222-5322-4853-BFDE-C07041C5F38A}"/>
            </a:ext>
          </a:extLst>
        </xdr:cNvPr>
        <xdr:cNvSpPr txBox="1"/>
      </xdr:nvSpPr>
      <xdr:spPr>
        <a:xfrm>
          <a:off x="5455980" y="1639958"/>
          <a:ext cx="2456672" cy="552296"/>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69A00F1-93BB-43A4-AFBA-66ECD578B7DA}" type="TxLink">
            <a:rPr lang="en-US" sz="1800" b="1" i="0" u="none" strike="noStrike">
              <a:solidFill>
                <a:srgbClr val="000000"/>
              </a:solidFill>
              <a:latin typeface="Calibri"/>
              <a:ea typeface="Calibri"/>
              <a:cs typeface="Calibri"/>
            </a:rPr>
            <a:t> 8,918 </a:t>
          </a:fld>
          <a:endParaRPr lang="en-IN" sz="1800" b="1"/>
        </a:p>
      </xdr:txBody>
    </xdr:sp>
    <xdr:clientData/>
  </xdr:oneCellAnchor>
  <xdr:oneCellAnchor>
    <xdr:from>
      <xdr:col>14</xdr:col>
      <xdr:colOff>11546</xdr:colOff>
      <xdr:row>10</xdr:row>
      <xdr:rowOff>0</xdr:rowOff>
    </xdr:from>
    <xdr:ext cx="2439276" cy="557695"/>
    <xdr:sp macro="" textlink="Calculations!D5">
      <xdr:nvSpPr>
        <xdr:cNvPr id="15" name="TextBox 14">
          <a:extLst>
            <a:ext uri="{FF2B5EF4-FFF2-40B4-BE49-F238E27FC236}">
              <a16:creationId xmlns:a16="http://schemas.microsoft.com/office/drawing/2014/main" id="{825F4221-8219-40DA-B6C7-3EA00D64C303}"/>
            </a:ext>
          </a:extLst>
        </xdr:cNvPr>
        <xdr:cNvSpPr txBox="1"/>
      </xdr:nvSpPr>
      <xdr:spPr>
        <a:xfrm>
          <a:off x="7907633" y="1639957"/>
          <a:ext cx="2439276" cy="5576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2E202BCA-D95E-46F1-9494-A8364A5340B1}" type="TxLink">
            <a:rPr lang="en-US" sz="1800" b="1" i="0" u="none" strike="noStrike">
              <a:solidFill>
                <a:srgbClr val="000000"/>
              </a:solidFill>
              <a:latin typeface="Calibri"/>
              <a:ea typeface="Calibri"/>
              <a:cs typeface="Calibri"/>
            </a:rPr>
            <a:t> 51.32 </a:t>
          </a:fld>
          <a:endParaRPr lang="en-IN" sz="1800" b="1"/>
        </a:p>
      </xdr:txBody>
    </xdr:sp>
    <xdr:clientData/>
  </xdr:oneCellAnchor>
  <xdr:oneCellAnchor>
    <xdr:from>
      <xdr:col>18</xdr:col>
      <xdr:colOff>0</xdr:colOff>
      <xdr:row>10</xdr:row>
      <xdr:rowOff>0</xdr:rowOff>
    </xdr:from>
    <xdr:ext cx="2439276" cy="551795"/>
    <xdr:sp macro="" textlink="Calculations!D6">
      <xdr:nvSpPr>
        <xdr:cNvPr id="16" name="TextBox 15">
          <a:extLst>
            <a:ext uri="{FF2B5EF4-FFF2-40B4-BE49-F238E27FC236}">
              <a16:creationId xmlns:a16="http://schemas.microsoft.com/office/drawing/2014/main" id="{14FA5A81-03E3-4157-8747-F3C48AF4BAB7}"/>
            </a:ext>
          </a:extLst>
        </xdr:cNvPr>
        <xdr:cNvSpPr txBox="1"/>
      </xdr:nvSpPr>
      <xdr:spPr>
        <a:xfrm>
          <a:off x="10348310" y="1655379"/>
          <a:ext cx="2439276" cy="5517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5C5252A-ED81-4D1A-A36A-BE56963319F4}" type="TxLink">
            <a:rPr lang="en-US" sz="1800" b="1" i="0" u="none" strike="noStrike">
              <a:solidFill>
                <a:srgbClr val="000000"/>
              </a:solidFill>
              <a:latin typeface="Calibri"/>
              <a:ea typeface="Calibri"/>
              <a:cs typeface="Calibri"/>
            </a:rPr>
            <a:t>01-11-2024</a:t>
          </a:fld>
          <a:endParaRPr lang="en-IN" sz="1800" b="1"/>
        </a:p>
      </xdr:txBody>
    </xdr:sp>
    <xdr:clientData/>
  </xdr:oneCellAnchor>
  <xdr:oneCellAnchor>
    <xdr:from>
      <xdr:col>22</xdr:col>
      <xdr:colOff>0</xdr:colOff>
      <xdr:row>10</xdr:row>
      <xdr:rowOff>0</xdr:rowOff>
    </xdr:from>
    <xdr:ext cx="2424545" cy="551795"/>
    <xdr:sp macro="" textlink="Calculations!D7">
      <xdr:nvSpPr>
        <xdr:cNvPr id="17" name="TextBox 16">
          <a:extLst>
            <a:ext uri="{FF2B5EF4-FFF2-40B4-BE49-F238E27FC236}">
              <a16:creationId xmlns:a16="http://schemas.microsoft.com/office/drawing/2014/main" id="{46C8EE5A-C7B9-4F42-9251-8E6ED542A287}"/>
            </a:ext>
          </a:extLst>
        </xdr:cNvPr>
        <xdr:cNvSpPr txBox="1"/>
      </xdr:nvSpPr>
      <xdr:spPr>
        <a:xfrm>
          <a:off x="12850091" y="1662545"/>
          <a:ext cx="2424545" cy="5517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F783197C-C317-4949-96ED-1BDADB58D1BC}" type="TxLink">
            <a:rPr lang="en-US" sz="1800" b="1" i="0" u="none" strike="noStrike">
              <a:solidFill>
                <a:srgbClr val="000000"/>
              </a:solidFill>
              <a:latin typeface="Calibri"/>
              <a:ea typeface="Calibri"/>
              <a:cs typeface="Calibri"/>
            </a:rPr>
            <a:t> 54 </a:t>
          </a:fld>
          <a:endParaRPr lang="en-IN" sz="1800" b="1"/>
        </a:p>
      </xdr:txBody>
    </xdr:sp>
    <xdr:clientData/>
  </xdr:oneCellAnchor>
  <xdr:oneCellAnchor>
    <xdr:from>
      <xdr:col>25</xdr:col>
      <xdr:colOff>604345</xdr:colOff>
      <xdr:row>10</xdr:row>
      <xdr:rowOff>0</xdr:rowOff>
    </xdr:from>
    <xdr:ext cx="4163928" cy="557695"/>
    <xdr:sp macro="" textlink="Calculations!D8">
      <xdr:nvSpPr>
        <xdr:cNvPr id="18" name="TextBox 17">
          <a:extLst>
            <a:ext uri="{FF2B5EF4-FFF2-40B4-BE49-F238E27FC236}">
              <a16:creationId xmlns:a16="http://schemas.microsoft.com/office/drawing/2014/main" id="{94FA56F1-3B54-4B1B-BDC5-818F362E0D34}"/>
            </a:ext>
          </a:extLst>
        </xdr:cNvPr>
        <xdr:cNvSpPr txBox="1"/>
      </xdr:nvSpPr>
      <xdr:spPr>
        <a:xfrm>
          <a:off x="15290163" y="1662545"/>
          <a:ext cx="4163928" cy="557695"/>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E7E5E2B9-AC1B-43F5-9016-2D9611948EAF}" type="TxLink">
            <a:rPr lang="en-US" sz="1800" b="1" i="0" u="none" strike="noStrike">
              <a:solidFill>
                <a:srgbClr val="000000"/>
              </a:solidFill>
              <a:latin typeface="Calibri"/>
              <a:ea typeface="Calibri"/>
              <a:cs typeface="Calibri"/>
            </a:rPr>
            <a:t> 9 </a:t>
          </a:fld>
          <a:endParaRPr lang="en-IN" sz="1800" b="1"/>
        </a:p>
      </xdr:txBody>
    </xdr:sp>
    <xdr:clientData/>
  </xdr:oneCellAnchor>
  <xdr:oneCellAnchor>
    <xdr:from>
      <xdr:col>1</xdr:col>
      <xdr:colOff>11545</xdr:colOff>
      <xdr:row>13</xdr:row>
      <xdr:rowOff>11545</xdr:rowOff>
    </xdr:from>
    <xdr:ext cx="19454091" cy="554183"/>
    <xdr:sp macro="" textlink="">
      <xdr:nvSpPr>
        <xdr:cNvPr id="19" name="TextBox 18">
          <a:extLst>
            <a:ext uri="{FF2B5EF4-FFF2-40B4-BE49-F238E27FC236}">
              <a16:creationId xmlns:a16="http://schemas.microsoft.com/office/drawing/2014/main" id="{2902AA2B-0999-91CC-4229-0D7F10F4DEC6}"/>
            </a:ext>
          </a:extLst>
        </xdr:cNvPr>
        <xdr:cNvSpPr txBox="1"/>
      </xdr:nvSpPr>
      <xdr:spPr>
        <a:xfrm>
          <a:off x="11545" y="2228272"/>
          <a:ext cx="19454091" cy="554183"/>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lang="en-IN" sz="2800" b="1">
              <a:solidFill>
                <a:schemeClr val="bg1"/>
              </a:solidFill>
            </a:rPr>
            <a:t>VISUALS</a:t>
          </a:r>
          <a:r>
            <a:rPr lang="en-IN" sz="2800" b="1" baseline="0"/>
            <a:t> </a:t>
          </a:r>
          <a:r>
            <a:rPr lang="en-IN" sz="2800" b="1" baseline="0">
              <a:solidFill>
                <a:schemeClr val="bg1"/>
              </a:solidFill>
            </a:rPr>
            <a:t>CHART</a:t>
          </a:r>
          <a:endParaRPr lang="en-IN" sz="2800" b="1">
            <a:solidFill>
              <a:schemeClr val="bg1"/>
            </a:solidFill>
          </a:endParaRPr>
        </a:p>
      </xdr:txBody>
    </xdr:sp>
    <xdr:clientData/>
  </xdr:oneCellAnchor>
  <xdr:twoCellAnchor>
    <xdr:from>
      <xdr:col>1</xdr:col>
      <xdr:colOff>15876</xdr:colOff>
      <xdr:row>16</xdr:row>
      <xdr:rowOff>46181</xdr:rowOff>
    </xdr:from>
    <xdr:to>
      <xdr:col>8</xdr:col>
      <xdr:colOff>333376</xdr:colOff>
      <xdr:row>31</xdr:row>
      <xdr:rowOff>174625</xdr:rowOff>
    </xdr:to>
    <xdr:graphicFrame macro="">
      <xdr:nvGraphicFramePr>
        <xdr:cNvPr id="22" name="Chart 21">
          <a:extLst>
            <a:ext uri="{FF2B5EF4-FFF2-40B4-BE49-F238E27FC236}">
              <a16:creationId xmlns:a16="http://schemas.microsoft.com/office/drawing/2014/main" id="{4989C95F-A614-40B0-9654-DEAEF4EA6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285750</xdr:colOff>
      <xdr:row>15</xdr:row>
      <xdr:rowOff>184148</xdr:rowOff>
    </xdr:from>
    <xdr:to>
      <xdr:col>17</xdr:col>
      <xdr:colOff>142876</xdr:colOff>
      <xdr:row>31</xdr:row>
      <xdr:rowOff>95250</xdr:rowOff>
    </xdr:to>
    <xdr:graphicFrame macro="">
      <xdr:nvGraphicFramePr>
        <xdr:cNvPr id="24" name="Chart 23">
          <a:extLst>
            <a:ext uri="{FF2B5EF4-FFF2-40B4-BE49-F238E27FC236}">
              <a16:creationId xmlns:a16="http://schemas.microsoft.com/office/drawing/2014/main" id="{12CBD801-1396-44A0-BDAF-4E6CC8168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158749</xdr:colOff>
      <xdr:row>16</xdr:row>
      <xdr:rowOff>31750</xdr:rowOff>
    </xdr:from>
    <xdr:to>
      <xdr:col>24</xdr:col>
      <xdr:colOff>539750</xdr:colOff>
      <xdr:row>31</xdr:row>
      <xdr:rowOff>79376</xdr:rowOff>
    </xdr:to>
    <xdr:graphicFrame macro="">
      <xdr:nvGraphicFramePr>
        <xdr:cNvPr id="25" name="Chart 24">
          <a:extLst>
            <a:ext uri="{FF2B5EF4-FFF2-40B4-BE49-F238E27FC236}">
              <a16:creationId xmlns:a16="http://schemas.microsoft.com/office/drawing/2014/main" id="{DEAD7C46-89E9-4CE9-A5C7-A002AA85D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555625</xdr:colOff>
      <xdr:row>15</xdr:row>
      <xdr:rowOff>174625</xdr:rowOff>
    </xdr:from>
    <xdr:to>
      <xdr:col>32</xdr:col>
      <xdr:colOff>492125</xdr:colOff>
      <xdr:row>31</xdr:row>
      <xdr:rowOff>47625</xdr:rowOff>
    </xdr:to>
    <xdr:graphicFrame macro="">
      <xdr:nvGraphicFramePr>
        <xdr:cNvPr id="26" name="Chart 25">
          <a:extLst>
            <a:ext uri="{FF2B5EF4-FFF2-40B4-BE49-F238E27FC236}">
              <a16:creationId xmlns:a16="http://schemas.microsoft.com/office/drawing/2014/main" id="{9168B3E7-D8C7-4D37-B5B4-67C3E8485D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31750</xdr:colOff>
      <xdr:row>32</xdr:row>
      <xdr:rowOff>31750</xdr:rowOff>
    </xdr:from>
    <xdr:to>
      <xdr:col>8</xdr:col>
      <xdr:colOff>381000</xdr:colOff>
      <xdr:row>46</xdr:row>
      <xdr:rowOff>107950</xdr:rowOff>
    </xdr:to>
    <xdr:graphicFrame macro="">
      <xdr:nvGraphicFramePr>
        <xdr:cNvPr id="27" name="Chart 26">
          <a:extLst>
            <a:ext uri="{FF2B5EF4-FFF2-40B4-BE49-F238E27FC236}">
              <a16:creationId xmlns:a16="http://schemas.microsoft.com/office/drawing/2014/main" id="{D343D45C-A284-4F36-B9A5-BDC11FC5BE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380999</xdr:colOff>
      <xdr:row>31</xdr:row>
      <xdr:rowOff>127001</xdr:rowOff>
    </xdr:from>
    <xdr:to>
      <xdr:col>17</xdr:col>
      <xdr:colOff>206375</xdr:colOff>
      <xdr:row>46</xdr:row>
      <xdr:rowOff>127001</xdr:rowOff>
    </xdr:to>
    <xdr:graphicFrame macro="">
      <xdr:nvGraphicFramePr>
        <xdr:cNvPr id="28" name="Chart 27">
          <a:extLst>
            <a:ext uri="{FF2B5EF4-FFF2-40B4-BE49-F238E27FC236}">
              <a16:creationId xmlns:a16="http://schemas.microsoft.com/office/drawing/2014/main" id="{FD205664-BE1F-4C42-B94D-D2B912FE5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38</xdr:col>
      <xdr:colOff>521194</xdr:colOff>
      <xdr:row>6</xdr:row>
      <xdr:rowOff>135660</xdr:rowOff>
    </xdr:from>
    <xdr:to>
      <xdr:col>45</xdr:col>
      <xdr:colOff>571500</xdr:colOff>
      <xdr:row>21</xdr:row>
      <xdr:rowOff>63500</xdr:rowOff>
    </xdr:to>
    <mc:AlternateContent xmlns:mc="http://schemas.openxmlformats.org/markup-compatibility/2006">
      <mc:Choice xmlns:a14="http://schemas.microsoft.com/office/drawing/2010/main" Requires="a14">
        <xdr:graphicFrame macro="">
          <xdr:nvGraphicFramePr>
            <xdr:cNvPr id="29" name="Department 1">
              <a:extLst>
                <a:ext uri="{FF2B5EF4-FFF2-40B4-BE49-F238E27FC236}">
                  <a16:creationId xmlns:a16="http://schemas.microsoft.com/office/drawing/2014/main" id="{8F245D11-314A-408E-8640-FAA3EDE5390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23444694" y="1278660"/>
              <a:ext cx="4273056" cy="2785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508000</xdr:colOff>
      <xdr:row>21</xdr:row>
      <xdr:rowOff>27214</xdr:rowOff>
    </xdr:from>
    <xdr:to>
      <xdr:col>45</xdr:col>
      <xdr:colOff>555625</xdr:colOff>
      <xdr:row>34</xdr:row>
      <xdr:rowOff>174624</xdr:rowOff>
    </xdr:to>
    <mc:AlternateContent xmlns:mc="http://schemas.openxmlformats.org/markup-compatibility/2006">
      <mc:Choice xmlns:a14="http://schemas.microsoft.com/office/drawing/2010/main" Requires="a14">
        <xdr:graphicFrame macro="">
          <xdr:nvGraphicFramePr>
            <xdr:cNvPr id="33" name="Status 1">
              <a:extLst>
                <a:ext uri="{FF2B5EF4-FFF2-40B4-BE49-F238E27FC236}">
                  <a16:creationId xmlns:a16="http://schemas.microsoft.com/office/drawing/2014/main" id="{A54A6172-129C-4A7E-848C-19E37BD262FA}"/>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3431500" y="4027714"/>
              <a:ext cx="4270375" cy="2766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73602</xdr:colOff>
      <xdr:row>4</xdr:row>
      <xdr:rowOff>18144</xdr:rowOff>
    </xdr:from>
    <xdr:ext cx="7758546" cy="507282"/>
    <xdr:sp macro="" textlink="">
      <xdr:nvSpPr>
        <xdr:cNvPr id="34" name="TextBox 33">
          <a:extLst>
            <a:ext uri="{FF2B5EF4-FFF2-40B4-BE49-F238E27FC236}">
              <a16:creationId xmlns:a16="http://schemas.microsoft.com/office/drawing/2014/main" id="{8040C447-FD31-8E0F-FCC7-3EC8D4C15688}"/>
            </a:ext>
          </a:extLst>
        </xdr:cNvPr>
        <xdr:cNvSpPr txBox="1"/>
      </xdr:nvSpPr>
      <xdr:spPr>
        <a:xfrm>
          <a:off x="19980852" y="780144"/>
          <a:ext cx="7758546" cy="507282"/>
        </a:xfrm>
        <a:prstGeom prst="rect">
          <a:avLst/>
        </a:prstGeom>
        <a:solidFill>
          <a:schemeClr val="accent5">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3200" b="1">
              <a:solidFill>
                <a:schemeClr val="bg1"/>
              </a:solidFill>
            </a:rPr>
            <a:t>Slicer</a:t>
          </a:r>
        </a:p>
      </xdr:txBody>
    </xdr:sp>
    <xdr:clientData/>
  </xdr:oneCellAnchor>
  <xdr:twoCellAnchor editAs="oneCell">
    <xdr:from>
      <xdr:col>32</xdr:col>
      <xdr:colOff>555624</xdr:colOff>
      <xdr:row>6</xdr:row>
      <xdr:rowOff>158749</xdr:rowOff>
    </xdr:from>
    <xdr:to>
      <xdr:col>35</xdr:col>
      <xdr:colOff>508000</xdr:colOff>
      <xdr:row>45</xdr:row>
      <xdr:rowOff>158750</xdr:rowOff>
    </xdr:to>
    <mc:AlternateContent xmlns:mc="http://schemas.openxmlformats.org/markup-compatibility/2006">
      <mc:Choice xmlns:a14="http://schemas.microsoft.com/office/drawing/2010/main" Requires="a14">
        <xdr:graphicFrame macro="">
          <xdr:nvGraphicFramePr>
            <xdr:cNvPr id="35" name="Employee Name 1">
              <a:extLst>
                <a:ext uri="{FF2B5EF4-FFF2-40B4-BE49-F238E27FC236}">
                  <a16:creationId xmlns:a16="http://schemas.microsoft.com/office/drawing/2014/main" id="{F52032E5-03E3-4B21-B76B-313DBAB5DDA0}"/>
                </a:ext>
              </a:extLst>
            </xdr:cNvPr>
            <xdr:cNvGraphicFramePr/>
          </xdr:nvGraphicFramePr>
          <xdr:xfrm>
            <a:off x="0" y="0"/>
            <a:ext cx="0" cy="0"/>
          </xdr:xfrm>
          <a:graphic>
            <a:graphicData uri="http://schemas.microsoft.com/office/drawing/2010/slicer">
              <sle:slicer xmlns:sle="http://schemas.microsoft.com/office/drawing/2010/slicer" name="Employee Name 1"/>
            </a:graphicData>
          </a:graphic>
        </xdr:graphicFrame>
      </mc:Choice>
      <mc:Fallback>
        <xdr:sp macro="" textlink="">
          <xdr:nvSpPr>
            <xdr:cNvPr id="0" name=""/>
            <xdr:cNvSpPr>
              <a:spLocks noTextEdit="1"/>
            </xdr:cNvSpPr>
          </xdr:nvSpPr>
          <xdr:spPr>
            <a:xfrm>
              <a:off x="19859624" y="1301749"/>
              <a:ext cx="1762126" cy="7572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523875</xdr:colOff>
      <xdr:row>6</xdr:row>
      <xdr:rowOff>142874</xdr:rowOff>
    </xdr:from>
    <xdr:to>
      <xdr:col>38</xdr:col>
      <xdr:colOff>542925</xdr:colOff>
      <xdr:row>46</xdr:row>
      <xdr:rowOff>47625</xdr:rowOff>
    </xdr:to>
    <mc:AlternateContent xmlns:mc="http://schemas.openxmlformats.org/markup-compatibility/2006">
      <mc:Choice xmlns:a14="http://schemas.microsoft.com/office/drawing/2010/main" Requires="a14">
        <xdr:graphicFrame macro="">
          <xdr:nvGraphicFramePr>
            <xdr:cNvPr id="36" name="Revenue 1">
              <a:extLst>
                <a:ext uri="{FF2B5EF4-FFF2-40B4-BE49-F238E27FC236}">
                  <a16:creationId xmlns:a16="http://schemas.microsoft.com/office/drawing/2014/main" id="{8FDA3329-33F2-448E-B089-C09D47DA3D98}"/>
                </a:ext>
              </a:extLst>
            </xdr:cNvPr>
            <xdr:cNvGraphicFramePr/>
          </xdr:nvGraphicFramePr>
          <xdr:xfrm>
            <a:off x="0" y="0"/>
            <a:ext cx="0" cy="0"/>
          </xdr:xfrm>
          <a:graphic>
            <a:graphicData uri="http://schemas.microsoft.com/office/drawing/2010/slicer">
              <sle:slicer xmlns:sle="http://schemas.microsoft.com/office/drawing/2010/slicer" name="Revenue 1"/>
            </a:graphicData>
          </a:graphic>
        </xdr:graphicFrame>
      </mc:Choice>
      <mc:Fallback>
        <xdr:sp macro="" textlink="">
          <xdr:nvSpPr>
            <xdr:cNvPr id="0" name=""/>
            <xdr:cNvSpPr>
              <a:spLocks noTextEdit="1"/>
            </xdr:cNvSpPr>
          </xdr:nvSpPr>
          <xdr:spPr>
            <a:xfrm>
              <a:off x="21637625" y="1285874"/>
              <a:ext cx="1828800" cy="76676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47</xdr:col>
      <xdr:colOff>6350</xdr:colOff>
      <xdr:row>48</xdr:row>
      <xdr:rowOff>165100</xdr:rowOff>
    </xdr:to>
    <xdr:pic>
      <xdr:nvPicPr>
        <xdr:cNvPr id="2" name="Picture 1">
          <a:extLst>
            <a:ext uri="{FF2B5EF4-FFF2-40B4-BE49-F238E27FC236}">
              <a16:creationId xmlns:a16="http://schemas.microsoft.com/office/drawing/2014/main" id="{73FFB3D4-E047-031A-027E-5F86BF3E78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8657550" cy="900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THIK MISRA" refreshedDate="46254.07727303241" createdVersion="8" refreshedVersion="8" minRefreshableVersion="3" recordCount="200" xr:uid="{3A7A1BEF-5A0E-45F6-9107-CA78D10571B1}">
  <cacheSource type="worksheet">
    <worksheetSource name="Emp_Sales_Raw_Data"/>
  </cacheSource>
  <cacheFields count="9">
    <cacheField name="Employee Name" numFmtId="0">
      <sharedItems count="200">
        <s v="Allison Hill"/>
        <s v="Noah Rhodes"/>
        <s v="Angie Henderson"/>
        <s v="Daniel Wagner"/>
        <s v="Cristian Santos"/>
        <s v="Connie Lawrence"/>
        <s v="Abigail Shaffer"/>
        <s v="Gina Moore"/>
        <s v="Gabrielle Davis"/>
        <s v="Ryan Munoz"/>
        <s v="Monica Herrera"/>
        <s v="Jamie Arnold"/>
        <s v="Lisa Hensley"/>
        <s v="Michele Williams"/>
        <s v="Dylan Miller"/>
        <s v="Brian Ramirez"/>
        <s v="Holly Wood"/>
        <s v="Derek Zuniga"/>
        <s v="Lisa Jackson"/>
        <s v="Carla Gray"/>
        <s v="Margaret Hawkins DDS"/>
        <s v="Patty Perez"/>
        <s v="Ethan Adams"/>
        <s v="Tommy Walter"/>
        <s v="Matthew Foster"/>
        <s v="Judy Baker"/>
        <s v="Justin Baker"/>
        <s v="Stephanie Ross"/>
        <s v="Zachary Hicks"/>
        <s v="Anthony Rodriguez"/>
        <s v="Rebecca Henderson"/>
        <s v="James Ferrell"/>
        <s v="Tricia Valencia"/>
        <s v="Nathan Maldonado"/>
        <s v="Debra Davidson"/>
        <s v="Jeffrey Chavez"/>
        <s v="Sherri Baker"/>
        <s v="Cassandra Gaines"/>
        <s v="Elizabeth Fowler"/>
        <s v="Brittany Farmer"/>
        <s v="Paula Moreno"/>
        <s v="Fred Smith"/>
        <s v="Sherry Decker"/>
        <s v="Anthony Humphrey"/>
        <s v="Angelica Tucker"/>
        <s v="Philip Cannon"/>
        <s v="John Pierce"/>
        <s v="Shane Henderson"/>
        <s v="Joshua Blair"/>
        <s v="Eric Carney"/>
        <s v="Jessica Holmes"/>
        <s v="Danny Morgan"/>
        <s v="Crystal Robinson"/>
        <s v="Mark Perez"/>
        <s v="Shannon Jones"/>
        <s v="Michael Lewis"/>
        <s v="Timothy Duncan"/>
        <s v="Richard Aguirre"/>
        <s v="Brent Jordan"/>
        <s v="John Daniel"/>
        <s v="Victoria Garcia"/>
        <s v="Gerald Hensley"/>
        <s v="Connor West"/>
        <s v="Donald Wright"/>
        <s v="Jessica Callahan"/>
        <s v="Amber Kidd"/>
        <s v="Tracy House"/>
        <s v="Carol Tucker"/>
        <s v="James Brown"/>
        <s v="William Baker"/>
        <s v="Jordan Henderson"/>
        <s v="Whitney Peters"/>
        <s v="Brittney Phillips"/>
        <s v="Lauren Daniels"/>
        <s v="Amy Silva"/>
        <s v="Sarah Moore"/>
        <s v="Angela Lopez"/>
        <s v="Megan Young"/>
        <s v="Steve Sanchez"/>
        <s v="Lisa Barnes"/>
        <s v="Kelly Donovan"/>
        <s v="Mike Allen"/>
        <s v="Michael Evans"/>
        <s v="Paul Jones"/>
        <s v="Zachary Ferrell"/>
        <s v="Daniel Baker"/>
        <s v="Shirley Suarez"/>
        <s v="Christopher Bass"/>
        <s v="Lisa Archer"/>
        <s v="Aimee Montoya"/>
        <s v="Matthew Mcmillan"/>
        <s v="Brian Rodriguez"/>
        <s v="Denise Jacobs"/>
        <s v="Christina Walters"/>
        <s v="John Whitehead"/>
        <s v="Anna Henderson"/>
        <s v="Aaron Wise"/>
        <s v="Deborah Figueroa"/>
        <s v="Jessica Smith"/>
        <s v="Stephen Mckee"/>
        <s v="Sandra Aguilar"/>
        <s v="Cameron Parker"/>
        <s v="Rebecca Valencia"/>
        <s v="Christine Wright"/>
        <s v="Richard Henson"/>
        <s v="Marc Moore"/>
        <s v="Sharon Cherry"/>
        <s v="Sierra Johnson"/>
        <s v="Evelyn Galvan"/>
        <s v="Sharon Cochran"/>
        <s v="Richard Rodriguez"/>
        <s v="Shannon Walker"/>
        <s v="Julia Torres"/>
        <s v="Crystal Johnson"/>
        <s v="Garrett Lin"/>
        <s v="Diana May"/>
        <s v="William Herrera"/>
        <s v="Ashley Waller"/>
        <s v="Victor Baker"/>
        <s v="Jeffrey Chandler"/>
        <s v="Larry Dixon"/>
        <s v="Kenneth Scott"/>
        <s v="April Frost"/>
        <s v="Michelle Harmon"/>
        <s v="Helen Jones"/>
        <s v="Erin Edwards"/>
        <s v="Michelle Evans"/>
        <s v="Jason Powell"/>
        <s v="Cameron Fisher"/>
        <s v="Megan Orr"/>
        <s v="Elizabeth Kelley"/>
        <s v="Dustin Jordan"/>
        <s v="Mary Marshall"/>
        <s v="Daniel Kennedy"/>
        <s v="Rebecca Jackson"/>
        <s v="Jose Schultz"/>
        <s v="Robert Potter"/>
        <s v="Courtney Gonzalez"/>
        <s v="David Alvarez"/>
        <s v="Angel Perry"/>
        <s v="Cheyenne Horton"/>
        <s v="David Douglas Jr."/>
        <s v="Patricia Rodriguez"/>
        <s v="Christopher Rubio"/>
        <s v="Amber Wright"/>
        <s v="Joyce Solis"/>
        <s v="Victoria Larson"/>
        <s v="Stephanie Salazar"/>
        <s v="Kathy Rivas"/>
        <s v="Stephanie Manning"/>
        <s v="David Wright"/>
        <s v="Pamela Boyd"/>
        <s v="Denise Jones"/>
        <s v="Devon Flores"/>
        <s v="Brenda Hall"/>
        <s v="Michelle Brown"/>
        <s v="Joshua Perry"/>
        <s v="Jason Stein"/>
        <s v="Melissa Gates"/>
        <s v="Jamie Smith"/>
        <s v="Paul Castaneda"/>
        <s v="Jennifer Adkins"/>
        <s v="Lindsey Walker"/>
        <s v="Jeffrey Johnson"/>
        <s v="Michael Powell"/>
        <s v="John Anderson"/>
        <s v="Alyssa Long"/>
        <s v="Alyssa Day"/>
        <s v="Joel Williams"/>
        <s v="Daniel Murphy"/>
        <s v="Jamie Walton"/>
        <s v="Darlene Miller"/>
        <s v="Joshua Cooke"/>
        <s v="Matthew Harrington"/>
        <s v="Nicole Herring"/>
        <s v="Alex Hernandez"/>
        <s v="Michael Elliott"/>
        <s v="Michael Wang"/>
        <s v="Lawrence Adkins"/>
        <s v="Robert Oconnell"/>
        <s v="Alexander Collins"/>
        <s v="Tina Sanders"/>
        <s v="Angela Vaughn"/>
        <s v="Ashley Barton"/>
        <s v="Lindsay Martinez"/>
        <s v="Dr. Hannah Patterson"/>
        <s v="Jonathan Peterson"/>
        <s v="Samantha Garcia"/>
        <s v="Madison Poole"/>
        <s v="Jessica Gross"/>
        <s v="Debra Morton"/>
        <s v="Karen Graham"/>
        <s v="Debra Christian"/>
        <s v="Angelica Keith"/>
        <s v="John Bishop"/>
        <s v="Allen Rosales"/>
        <s v="Daniel Salinas"/>
        <s v="Spencer Haynes"/>
        <s v="Adam Vaughan"/>
        <s v="Nathan Freeman"/>
      </sharedItems>
    </cacheField>
    <cacheField name="Department" numFmtId="0">
      <sharedItems count="4">
        <s v="IT"/>
        <s v="HR"/>
        <s v="Sales"/>
        <s v="Finance"/>
      </sharedItems>
    </cacheField>
    <cacheField name="Monthly Sales" numFmtId="0">
      <sharedItems containsSemiMixedTypes="0" containsString="0" containsNumber="1" containsInteger="1" minValue="2190" maxValue="19879"/>
    </cacheField>
    <cacheField name="Order Date" numFmtId="14">
      <sharedItems containsSemiMixedTypes="0" containsNonDate="0" containsDate="1" containsString="0" minDate="2024-11-01T00:00:00" maxDate="2024-12-01T00:00:00"/>
    </cacheField>
    <cacheField name="Delivery Date" numFmtId="14">
      <sharedItems containsSemiMixedTypes="0" containsNonDate="0" containsDate="1" containsString="0" minDate="2024-11-02T00:00:00" maxDate="2024-12-10T00:00:00"/>
    </cacheField>
    <cacheField name="Status" numFmtId="0">
      <sharedItems count="2">
        <s v="Completed"/>
        <s v="Pending"/>
      </sharedItems>
    </cacheField>
    <cacheField name="Quantity Sold" numFmtId="0">
      <sharedItems containsSemiMixedTypes="0" containsString="0" containsNumber="1" containsInteger="1" minValue="10" maxValue="99"/>
    </cacheField>
    <cacheField name="Unit Price" numFmtId="0">
      <sharedItems containsSemiMixedTypes="0" containsString="0" containsNumber="1" containsInteger="1" minValue="20" maxValue="97"/>
    </cacheField>
    <cacheField name="Revenue" numFmtId="0">
      <sharedItems containsSemiMixedTypes="0" containsString="0" containsNumber="1" containsInteger="1" minValue="300" maxValue="8918" count="193">
        <n v="990"/>
        <n v="2688"/>
        <n v="360"/>
        <n v="780"/>
        <n v="1600"/>
        <n v="2695"/>
        <n v="3285"/>
        <n v="2508"/>
        <n v="300"/>
        <n v="6150"/>
        <n v="6789"/>
        <n v="6216"/>
        <n v="767"/>
        <n v="2992"/>
        <n v="600"/>
        <n v="3960"/>
        <n v="6532"/>
        <n v="4752"/>
        <n v="2100"/>
        <n v="8184"/>
        <n v="5964"/>
        <n v="1292"/>
        <n v="1575"/>
        <n v="3600"/>
        <n v="2916"/>
        <n v="4346"/>
        <n v="616"/>
        <n v="7426"/>
        <n v="1995"/>
        <n v="1617"/>
        <n v="728"/>
        <n v="4929"/>
        <n v="1044"/>
        <n v="1302"/>
        <n v="4368"/>
        <n v="700"/>
        <n v="7227"/>
        <n v="989"/>
        <n v="3212"/>
        <n v="4230"/>
        <n v="3266"/>
        <n v="1780"/>
        <n v="4472"/>
        <n v="816"/>
        <n v="2016"/>
        <n v="1230"/>
        <n v="2419"/>
        <n v="855"/>
        <n v="658"/>
        <n v="2176"/>
        <n v="1710"/>
        <n v="3604"/>
        <n v="429"/>
        <n v="1804"/>
        <n v="3920"/>
        <n v="748"/>
        <n v="8370"/>
        <n v="1480"/>
        <n v="2304"/>
        <n v="5740"/>
        <n v="1950"/>
        <n v="1458"/>
        <n v="4284"/>
        <n v="1176"/>
        <n v="1584"/>
        <n v="3196"/>
        <n v="2816"/>
        <n v="2842"/>
        <n v="2730"/>
        <n v="4189"/>
        <n v="2622"/>
        <n v="2183"/>
        <n v="1740"/>
        <n v="8148"/>
        <n v="1188"/>
        <n v="3655"/>
        <n v="4845"/>
        <n v="3080"/>
        <n v="820"/>
        <n v="1127"/>
        <n v="1460"/>
        <n v="837"/>
        <n v="3312"/>
        <n v="5402"/>
        <n v="1782"/>
        <n v="1020"/>
        <n v="667"/>
        <n v="6417"/>
        <n v="2067"/>
        <n v="3256"/>
        <n v="4794"/>
        <n v="3174"/>
        <n v="364"/>
        <n v="2484"/>
        <n v="7308"/>
        <n v="2660"/>
        <n v="6106"/>
        <n v="1014"/>
        <n v="8918"/>
        <n v="3723"/>
        <n v="8428"/>
        <n v="1890"/>
        <n v="1323"/>
        <n v="4293"/>
        <n v="2592"/>
        <n v="2231"/>
        <n v="2091"/>
        <n v="3900"/>
        <n v="1645"/>
        <n v="2784"/>
        <n v="4032"/>
        <n v="1752"/>
        <n v="1122"/>
        <n v="1924"/>
        <n v="5025"/>
        <n v="2262"/>
        <n v="5766"/>
        <n v="1560"/>
        <n v="2496"/>
        <n v="2520"/>
        <n v="3002"/>
        <n v="570"/>
        <n v="4180"/>
        <n v="768"/>
        <n v="4740"/>
        <n v="1701"/>
        <n v="4818"/>
        <n v="2112"/>
        <n v="1482"/>
        <n v="1260"/>
        <n v="756"/>
        <n v="3870"/>
        <n v="1178"/>
        <n v="1833"/>
        <n v="3648"/>
        <n v="5544"/>
        <n v="5985"/>
        <n v="3225"/>
        <n v="1767"/>
        <n v="686"/>
        <n v="6474"/>
        <n v="1551"/>
        <n v="2360"/>
        <n v="4760"/>
        <n v="4268"/>
        <n v="5612"/>
        <n v="2665"/>
        <n v="552"/>
        <n v="1309"/>
        <n v="672"/>
        <n v="2128"/>
        <n v="5264"/>
        <n v="6853"/>
        <n v="3145"/>
        <n v="3294"/>
        <n v="660"/>
        <n v="2052"/>
        <n v="2385"/>
        <n v="1620"/>
        <n v="1960"/>
        <n v="2288"/>
        <n v="3420"/>
        <n v="3588"/>
        <n v="2204"/>
        <n v="1000"/>
        <n v="2075"/>
        <n v="2773"/>
        <n v="465"/>
        <n v="5832"/>
        <n v="2880"/>
        <n v="1624"/>
        <n v="6336"/>
        <n v="1980"/>
        <n v="945"/>
        <n v="8019"/>
        <n v="1430"/>
        <n v="5893"/>
        <n v="1911"/>
        <n v="7154"/>
        <n v="5796"/>
        <n v="3640"/>
        <n v="6120"/>
        <n v="4235"/>
        <n v="630"/>
        <n v="2208"/>
        <n v="3240"/>
        <n v="1200"/>
        <n v="1062"/>
        <n v="1800"/>
        <n v="2090"/>
        <n v="6786"/>
        <n v="3650"/>
        <n v="7030"/>
      </sharedItems>
    </cacheField>
  </cacheFields>
  <extLst>
    <ext xmlns:x14="http://schemas.microsoft.com/office/spreadsheetml/2009/9/main" uri="{725AE2AE-9491-48be-B2B4-4EB974FC3084}">
      <x14:pivotCacheDefinition pivotCacheId="4948745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7934"/>
    <d v="2024-11-23T00:00:00"/>
    <d v="2024-11-27T00:00:00"/>
    <x v="0"/>
    <n v="33"/>
    <n v="30"/>
    <x v="0"/>
  </r>
  <r>
    <x v="1"/>
    <x v="1"/>
    <n v="19247"/>
    <d v="2024-11-22T00:00:00"/>
    <d v="2024-11-24T00:00:00"/>
    <x v="1"/>
    <n v="64"/>
    <n v="42"/>
    <x v="1"/>
  </r>
  <r>
    <x v="2"/>
    <x v="2"/>
    <n v="10755"/>
    <d v="2024-11-19T00:00:00"/>
    <d v="2024-11-20T00:00:00"/>
    <x v="0"/>
    <n v="18"/>
    <n v="20"/>
    <x v="2"/>
  </r>
  <r>
    <x v="3"/>
    <x v="0"/>
    <n v="14383"/>
    <d v="2024-11-25T00:00:00"/>
    <d v="2024-12-02T00:00:00"/>
    <x v="1"/>
    <n v="12"/>
    <n v="65"/>
    <x v="3"/>
  </r>
  <r>
    <x v="4"/>
    <x v="0"/>
    <n v="16820"/>
    <d v="2024-11-26T00:00:00"/>
    <d v="2024-12-04T00:00:00"/>
    <x v="0"/>
    <n v="40"/>
    <n v="40"/>
    <x v="4"/>
  </r>
  <r>
    <x v="5"/>
    <x v="1"/>
    <n v="9574"/>
    <d v="2024-11-30T00:00:00"/>
    <d v="2024-12-07T00:00:00"/>
    <x v="1"/>
    <n v="49"/>
    <n v="55"/>
    <x v="5"/>
  </r>
  <r>
    <x v="6"/>
    <x v="2"/>
    <n v="8374"/>
    <d v="2024-11-29T00:00:00"/>
    <d v="2024-12-04T00:00:00"/>
    <x v="1"/>
    <n v="45"/>
    <n v="73"/>
    <x v="6"/>
  </r>
  <r>
    <x v="7"/>
    <x v="2"/>
    <n v="3678"/>
    <d v="2024-11-22T00:00:00"/>
    <d v="2024-11-23T00:00:00"/>
    <x v="0"/>
    <n v="33"/>
    <n v="76"/>
    <x v="7"/>
  </r>
  <r>
    <x v="8"/>
    <x v="0"/>
    <n v="3059"/>
    <d v="2024-11-26T00:00:00"/>
    <d v="2024-12-03T00:00:00"/>
    <x v="1"/>
    <n v="15"/>
    <n v="20"/>
    <x v="8"/>
  </r>
  <r>
    <x v="9"/>
    <x v="3"/>
    <n v="18198"/>
    <d v="2024-11-26T00:00:00"/>
    <d v="2024-12-03T00:00:00"/>
    <x v="0"/>
    <n v="75"/>
    <n v="82"/>
    <x v="9"/>
  </r>
  <r>
    <x v="10"/>
    <x v="0"/>
    <n v="11914"/>
    <d v="2024-11-22T00:00:00"/>
    <d v="2024-12-01T00:00:00"/>
    <x v="0"/>
    <n v="93"/>
    <n v="73"/>
    <x v="10"/>
  </r>
  <r>
    <x v="11"/>
    <x v="0"/>
    <n v="12817"/>
    <d v="2024-11-17T00:00:00"/>
    <d v="2024-11-20T00:00:00"/>
    <x v="0"/>
    <n v="84"/>
    <n v="74"/>
    <x v="11"/>
  </r>
  <r>
    <x v="12"/>
    <x v="0"/>
    <n v="12921"/>
    <d v="2024-11-20T00:00:00"/>
    <d v="2024-11-29T00:00:00"/>
    <x v="0"/>
    <n v="13"/>
    <n v="59"/>
    <x v="12"/>
  </r>
  <r>
    <x v="13"/>
    <x v="0"/>
    <n v="11789"/>
    <d v="2024-11-10T00:00:00"/>
    <d v="2024-11-11T00:00:00"/>
    <x v="1"/>
    <n v="88"/>
    <n v="34"/>
    <x v="13"/>
  </r>
  <r>
    <x v="14"/>
    <x v="1"/>
    <n v="18312"/>
    <d v="2024-11-06T00:00:00"/>
    <d v="2024-11-07T00:00:00"/>
    <x v="1"/>
    <n v="15"/>
    <n v="40"/>
    <x v="14"/>
  </r>
  <r>
    <x v="15"/>
    <x v="2"/>
    <n v="13252"/>
    <d v="2024-11-15T00:00:00"/>
    <d v="2024-11-19T00:00:00"/>
    <x v="1"/>
    <n v="60"/>
    <n v="66"/>
    <x v="15"/>
  </r>
  <r>
    <x v="16"/>
    <x v="1"/>
    <n v="4693"/>
    <d v="2024-11-22T00:00:00"/>
    <d v="2024-12-01T00:00:00"/>
    <x v="0"/>
    <n v="71"/>
    <n v="92"/>
    <x v="16"/>
  </r>
  <r>
    <x v="17"/>
    <x v="1"/>
    <n v="15931"/>
    <d v="2024-11-11T00:00:00"/>
    <d v="2024-11-17T00:00:00"/>
    <x v="1"/>
    <n v="66"/>
    <n v="72"/>
    <x v="17"/>
  </r>
  <r>
    <x v="18"/>
    <x v="1"/>
    <n v="5627"/>
    <d v="2024-11-28T00:00:00"/>
    <d v="2024-12-01T00:00:00"/>
    <x v="0"/>
    <n v="75"/>
    <n v="28"/>
    <x v="18"/>
  </r>
  <r>
    <x v="19"/>
    <x v="0"/>
    <n v="18157"/>
    <d v="2024-11-05T00:00:00"/>
    <d v="2024-11-06T00:00:00"/>
    <x v="1"/>
    <n v="88"/>
    <n v="93"/>
    <x v="19"/>
  </r>
  <r>
    <x v="20"/>
    <x v="3"/>
    <n v="12173"/>
    <d v="2024-11-01T00:00:00"/>
    <d v="2024-11-05T00:00:00"/>
    <x v="1"/>
    <n v="84"/>
    <n v="71"/>
    <x v="20"/>
  </r>
  <r>
    <x v="21"/>
    <x v="2"/>
    <n v="12230"/>
    <d v="2024-11-08T00:00:00"/>
    <d v="2024-11-17T00:00:00"/>
    <x v="1"/>
    <n v="17"/>
    <n v="76"/>
    <x v="21"/>
  </r>
  <r>
    <x v="22"/>
    <x v="3"/>
    <n v="17707"/>
    <d v="2024-11-21T00:00:00"/>
    <d v="2024-11-24T00:00:00"/>
    <x v="0"/>
    <n v="35"/>
    <n v="45"/>
    <x v="22"/>
  </r>
  <r>
    <x v="23"/>
    <x v="1"/>
    <n v="13494"/>
    <d v="2024-11-28T00:00:00"/>
    <d v="2024-12-07T00:00:00"/>
    <x v="1"/>
    <n v="60"/>
    <n v="60"/>
    <x v="23"/>
  </r>
  <r>
    <x v="24"/>
    <x v="1"/>
    <n v="3306"/>
    <d v="2024-11-12T00:00:00"/>
    <d v="2024-11-19T00:00:00"/>
    <x v="1"/>
    <n v="54"/>
    <n v="54"/>
    <x v="24"/>
  </r>
  <r>
    <x v="25"/>
    <x v="3"/>
    <n v="8776"/>
    <d v="2024-11-12T00:00:00"/>
    <d v="2024-11-16T00:00:00"/>
    <x v="0"/>
    <n v="53"/>
    <n v="82"/>
    <x v="25"/>
  </r>
  <r>
    <x v="26"/>
    <x v="3"/>
    <n v="11474"/>
    <d v="2024-11-05T00:00:00"/>
    <d v="2024-11-08T00:00:00"/>
    <x v="1"/>
    <n v="14"/>
    <n v="44"/>
    <x v="26"/>
  </r>
  <r>
    <x v="27"/>
    <x v="3"/>
    <n v="9526"/>
    <d v="2024-11-07T00:00:00"/>
    <d v="2024-11-12T00:00:00"/>
    <x v="0"/>
    <n v="79"/>
    <n v="94"/>
    <x v="27"/>
  </r>
  <r>
    <x v="28"/>
    <x v="1"/>
    <n v="7530"/>
    <d v="2024-11-04T00:00:00"/>
    <d v="2024-11-09T00:00:00"/>
    <x v="1"/>
    <n v="35"/>
    <n v="57"/>
    <x v="28"/>
  </r>
  <r>
    <x v="29"/>
    <x v="1"/>
    <n v="5748"/>
    <d v="2024-11-06T00:00:00"/>
    <d v="2024-11-09T00:00:00"/>
    <x v="0"/>
    <n v="77"/>
    <n v="21"/>
    <x v="29"/>
  </r>
  <r>
    <x v="30"/>
    <x v="2"/>
    <n v="15545"/>
    <d v="2024-11-13T00:00:00"/>
    <d v="2024-11-22T00:00:00"/>
    <x v="0"/>
    <n v="28"/>
    <n v="26"/>
    <x v="30"/>
  </r>
  <r>
    <x v="31"/>
    <x v="2"/>
    <n v="2663"/>
    <d v="2024-11-20T00:00:00"/>
    <d v="2024-11-24T00:00:00"/>
    <x v="1"/>
    <n v="93"/>
    <n v="53"/>
    <x v="31"/>
  </r>
  <r>
    <x v="32"/>
    <x v="1"/>
    <n v="3998"/>
    <d v="2024-11-30T00:00:00"/>
    <d v="2024-12-05T00:00:00"/>
    <x v="0"/>
    <n v="29"/>
    <n v="36"/>
    <x v="32"/>
  </r>
  <r>
    <x v="33"/>
    <x v="3"/>
    <n v="9994"/>
    <d v="2024-11-15T00:00:00"/>
    <d v="2024-11-19T00:00:00"/>
    <x v="0"/>
    <n v="21"/>
    <n v="62"/>
    <x v="33"/>
  </r>
  <r>
    <x v="34"/>
    <x v="3"/>
    <n v="19879"/>
    <d v="2024-11-03T00:00:00"/>
    <d v="2024-11-08T00:00:00"/>
    <x v="0"/>
    <n v="56"/>
    <n v="78"/>
    <x v="34"/>
  </r>
  <r>
    <x v="35"/>
    <x v="2"/>
    <n v="5304"/>
    <d v="2024-11-23T00:00:00"/>
    <d v="2024-11-30T00:00:00"/>
    <x v="0"/>
    <n v="10"/>
    <n v="70"/>
    <x v="35"/>
  </r>
  <r>
    <x v="36"/>
    <x v="1"/>
    <n v="15808"/>
    <d v="2024-11-08T00:00:00"/>
    <d v="2024-11-17T00:00:00"/>
    <x v="0"/>
    <n v="99"/>
    <n v="73"/>
    <x v="36"/>
  </r>
  <r>
    <x v="37"/>
    <x v="2"/>
    <n v="8585"/>
    <d v="2024-11-20T00:00:00"/>
    <d v="2024-11-27T00:00:00"/>
    <x v="0"/>
    <n v="23"/>
    <n v="43"/>
    <x v="37"/>
  </r>
  <r>
    <x v="38"/>
    <x v="2"/>
    <n v="19675"/>
    <d v="2024-11-16T00:00:00"/>
    <d v="2024-11-21T00:00:00"/>
    <x v="1"/>
    <n v="73"/>
    <n v="44"/>
    <x v="38"/>
  </r>
  <r>
    <x v="39"/>
    <x v="0"/>
    <n v="13649"/>
    <d v="2024-11-13T00:00:00"/>
    <d v="2024-11-20T00:00:00"/>
    <x v="0"/>
    <n v="47"/>
    <n v="90"/>
    <x v="39"/>
  </r>
  <r>
    <x v="40"/>
    <x v="0"/>
    <n v="3636"/>
    <d v="2024-11-18T00:00:00"/>
    <d v="2024-11-23T00:00:00"/>
    <x v="0"/>
    <n v="46"/>
    <n v="71"/>
    <x v="40"/>
  </r>
  <r>
    <x v="41"/>
    <x v="0"/>
    <n v="19082"/>
    <d v="2024-11-28T00:00:00"/>
    <d v="2024-12-01T00:00:00"/>
    <x v="1"/>
    <n v="20"/>
    <n v="89"/>
    <x v="41"/>
  </r>
  <r>
    <x v="42"/>
    <x v="3"/>
    <n v="6737"/>
    <d v="2024-11-10T00:00:00"/>
    <d v="2024-11-17T00:00:00"/>
    <x v="1"/>
    <n v="86"/>
    <n v="52"/>
    <x v="42"/>
  </r>
  <r>
    <x v="43"/>
    <x v="1"/>
    <n v="16555"/>
    <d v="2024-11-30T00:00:00"/>
    <d v="2024-12-02T00:00:00"/>
    <x v="1"/>
    <n v="12"/>
    <n v="68"/>
    <x v="43"/>
  </r>
  <r>
    <x v="44"/>
    <x v="1"/>
    <n v="15877"/>
    <d v="2024-11-19T00:00:00"/>
    <d v="2024-11-28T00:00:00"/>
    <x v="1"/>
    <n v="42"/>
    <n v="48"/>
    <x v="44"/>
  </r>
  <r>
    <x v="45"/>
    <x v="1"/>
    <n v="2854"/>
    <d v="2024-11-17T00:00:00"/>
    <d v="2024-11-18T00:00:00"/>
    <x v="1"/>
    <n v="15"/>
    <n v="82"/>
    <x v="45"/>
  </r>
  <r>
    <x v="46"/>
    <x v="1"/>
    <n v="7855"/>
    <d v="2024-11-24T00:00:00"/>
    <d v="2024-11-30T00:00:00"/>
    <x v="1"/>
    <n v="59"/>
    <n v="41"/>
    <x v="46"/>
  </r>
  <r>
    <x v="47"/>
    <x v="0"/>
    <n v="9392"/>
    <d v="2024-11-19T00:00:00"/>
    <d v="2024-11-26T00:00:00"/>
    <x v="1"/>
    <n v="19"/>
    <n v="45"/>
    <x v="47"/>
  </r>
  <r>
    <x v="48"/>
    <x v="3"/>
    <n v="15949"/>
    <d v="2024-11-28T00:00:00"/>
    <d v="2024-12-06T00:00:00"/>
    <x v="0"/>
    <n v="14"/>
    <n v="47"/>
    <x v="48"/>
  </r>
  <r>
    <x v="49"/>
    <x v="3"/>
    <n v="7791"/>
    <d v="2024-11-26T00:00:00"/>
    <d v="2024-12-05T00:00:00"/>
    <x v="0"/>
    <n v="32"/>
    <n v="68"/>
    <x v="49"/>
  </r>
  <r>
    <x v="50"/>
    <x v="0"/>
    <n v="6931"/>
    <d v="2024-11-23T00:00:00"/>
    <d v="2024-11-25T00:00:00"/>
    <x v="1"/>
    <n v="19"/>
    <n v="90"/>
    <x v="50"/>
  </r>
  <r>
    <x v="51"/>
    <x v="3"/>
    <n v="2202"/>
    <d v="2024-11-26T00:00:00"/>
    <d v="2024-11-28T00:00:00"/>
    <x v="0"/>
    <n v="53"/>
    <n v="68"/>
    <x v="51"/>
  </r>
  <r>
    <x v="52"/>
    <x v="0"/>
    <n v="13447"/>
    <d v="2024-11-05T00:00:00"/>
    <d v="2024-11-10T00:00:00"/>
    <x v="0"/>
    <n v="11"/>
    <n v="39"/>
    <x v="52"/>
  </r>
  <r>
    <x v="53"/>
    <x v="1"/>
    <n v="14688"/>
    <d v="2024-11-26T00:00:00"/>
    <d v="2024-12-01T00:00:00"/>
    <x v="0"/>
    <n v="22"/>
    <n v="82"/>
    <x v="53"/>
  </r>
  <r>
    <x v="54"/>
    <x v="0"/>
    <n v="6389"/>
    <d v="2024-11-21T00:00:00"/>
    <d v="2024-11-27T00:00:00"/>
    <x v="1"/>
    <n v="49"/>
    <n v="80"/>
    <x v="54"/>
  </r>
  <r>
    <x v="55"/>
    <x v="1"/>
    <n v="4327"/>
    <d v="2024-11-30T00:00:00"/>
    <d v="2024-12-03T00:00:00"/>
    <x v="1"/>
    <n v="11"/>
    <n v="68"/>
    <x v="55"/>
  </r>
  <r>
    <x v="56"/>
    <x v="1"/>
    <n v="10004"/>
    <d v="2024-11-23T00:00:00"/>
    <d v="2024-12-01T00:00:00"/>
    <x v="0"/>
    <n v="93"/>
    <n v="90"/>
    <x v="56"/>
  </r>
  <r>
    <x v="57"/>
    <x v="2"/>
    <n v="9777"/>
    <d v="2024-11-09T00:00:00"/>
    <d v="2024-11-10T00:00:00"/>
    <x v="1"/>
    <n v="74"/>
    <n v="20"/>
    <x v="57"/>
  </r>
  <r>
    <x v="58"/>
    <x v="0"/>
    <n v="2197"/>
    <d v="2024-11-12T00:00:00"/>
    <d v="2024-11-18T00:00:00"/>
    <x v="0"/>
    <n v="72"/>
    <n v="32"/>
    <x v="58"/>
  </r>
  <r>
    <x v="59"/>
    <x v="2"/>
    <n v="3930"/>
    <d v="2024-11-21T00:00:00"/>
    <d v="2024-11-25T00:00:00"/>
    <x v="0"/>
    <n v="82"/>
    <n v="70"/>
    <x v="59"/>
  </r>
  <r>
    <x v="60"/>
    <x v="0"/>
    <n v="13774"/>
    <d v="2024-11-01T00:00:00"/>
    <d v="2024-11-02T00:00:00"/>
    <x v="0"/>
    <n v="26"/>
    <n v="75"/>
    <x v="60"/>
  </r>
  <r>
    <x v="61"/>
    <x v="0"/>
    <n v="17087"/>
    <d v="2024-11-26T00:00:00"/>
    <d v="2024-12-03T00:00:00"/>
    <x v="0"/>
    <n v="18"/>
    <n v="81"/>
    <x v="61"/>
  </r>
  <r>
    <x v="62"/>
    <x v="2"/>
    <n v="11339"/>
    <d v="2024-11-26T00:00:00"/>
    <d v="2024-12-05T00:00:00"/>
    <x v="1"/>
    <n v="84"/>
    <n v="51"/>
    <x v="62"/>
  </r>
  <r>
    <x v="63"/>
    <x v="2"/>
    <n v="13589"/>
    <d v="2024-11-01T00:00:00"/>
    <d v="2024-11-05T00:00:00"/>
    <x v="1"/>
    <n v="24"/>
    <n v="49"/>
    <x v="63"/>
  </r>
  <r>
    <x v="64"/>
    <x v="0"/>
    <n v="17708"/>
    <d v="2024-11-15T00:00:00"/>
    <d v="2024-11-19T00:00:00"/>
    <x v="1"/>
    <n v="33"/>
    <n v="48"/>
    <x v="64"/>
  </r>
  <r>
    <x v="65"/>
    <x v="3"/>
    <n v="19043"/>
    <d v="2024-11-02T00:00:00"/>
    <d v="2024-11-08T00:00:00"/>
    <x v="0"/>
    <n v="47"/>
    <n v="68"/>
    <x v="65"/>
  </r>
  <r>
    <x v="66"/>
    <x v="1"/>
    <n v="4811"/>
    <d v="2024-11-30T00:00:00"/>
    <d v="2024-12-03T00:00:00"/>
    <x v="1"/>
    <n v="44"/>
    <n v="64"/>
    <x v="66"/>
  </r>
  <r>
    <x v="67"/>
    <x v="2"/>
    <n v="16243"/>
    <d v="2024-11-22T00:00:00"/>
    <d v="2024-11-28T00:00:00"/>
    <x v="0"/>
    <n v="58"/>
    <n v="49"/>
    <x v="67"/>
  </r>
  <r>
    <x v="68"/>
    <x v="1"/>
    <n v="8546"/>
    <d v="2024-11-16T00:00:00"/>
    <d v="2024-11-23T00:00:00"/>
    <x v="1"/>
    <n v="78"/>
    <n v="35"/>
    <x v="68"/>
  </r>
  <r>
    <x v="69"/>
    <x v="3"/>
    <n v="3986"/>
    <d v="2024-11-25T00:00:00"/>
    <d v="2024-11-28T00:00:00"/>
    <x v="0"/>
    <n v="71"/>
    <n v="59"/>
    <x v="69"/>
  </r>
  <r>
    <x v="70"/>
    <x v="3"/>
    <n v="10338"/>
    <d v="2024-11-08T00:00:00"/>
    <d v="2024-11-15T00:00:00"/>
    <x v="0"/>
    <n v="69"/>
    <n v="38"/>
    <x v="70"/>
  </r>
  <r>
    <x v="71"/>
    <x v="3"/>
    <n v="13411"/>
    <d v="2024-11-13T00:00:00"/>
    <d v="2024-11-16T00:00:00"/>
    <x v="0"/>
    <n v="59"/>
    <n v="37"/>
    <x v="71"/>
  </r>
  <r>
    <x v="72"/>
    <x v="2"/>
    <n v="4911"/>
    <d v="2024-11-21T00:00:00"/>
    <d v="2024-11-23T00:00:00"/>
    <x v="1"/>
    <n v="87"/>
    <n v="20"/>
    <x v="72"/>
  </r>
  <r>
    <x v="73"/>
    <x v="3"/>
    <n v="3734"/>
    <d v="2024-11-01T00:00:00"/>
    <d v="2024-11-05T00:00:00"/>
    <x v="1"/>
    <n v="84"/>
    <n v="97"/>
    <x v="73"/>
  </r>
  <r>
    <x v="74"/>
    <x v="2"/>
    <n v="10680"/>
    <d v="2024-11-16T00:00:00"/>
    <d v="2024-11-24T00:00:00"/>
    <x v="1"/>
    <n v="18"/>
    <n v="66"/>
    <x v="74"/>
  </r>
  <r>
    <x v="75"/>
    <x v="3"/>
    <n v="7759"/>
    <d v="2024-11-29T00:00:00"/>
    <d v="2024-12-08T00:00:00"/>
    <x v="1"/>
    <n v="43"/>
    <n v="85"/>
    <x v="75"/>
  </r>
  <r>
    <x v="76"/>
    <x v="1"/>
    <n v="4385"/>
    <d v="2024-11-07T00:00:00"/>
    <d v="2024-11-14T00:00:00"/>
    <x v="0"/>
    <n v="85"/>
    <n v="57"/>
    <x v="76"/>
  </r>
  <r>
    <x v="77"/>
    <x v="1"/>
    <n v="13111"/>
    <d v="2024-11-05T00:00:00"/>
    <d v="2024-11-06T00:00:00"/>
    <x v="1"/>
    <n v="44"/>
    <n v="70"/>
    <x v="77"/>
  </r>
  <r>
    <x v="78"/>
    <x v="0"/>
    <n v="6736"/>
    <d v="2024-11-22T00:00:00"/>
    <d v="2024-11-25T00:00:00"/>
    <x v="1"/>
    <n v="10"/>
    <n v="82"/>
    <x v="78"/>
  </r>
  <r>
    <x v="79"/>
    <x v="1"/>
    <n v="3802"/>
    <d v="2024-11-29T00:00:00"/>
    <d v="2024-12-08T00:00:00"/>
    <x v="0"/>
    <n v="49"/>
    <n v="23"/>
    <x v="79"/>
  </r>
  <r>
    <x v="80"/>
    <x v="0"/>
    <n v="10155"/>
    <d v="2024-11-23T00:00:00"/>
    <d v="2024-11-24T00:00:00"/>
    <x v="0"/>
    <n v="73"/>
    <n v="20"/>
    <x v="80"/>
  </r>
  <r>
    <x v="81"/>
    <x v="1"/>
    <n v="10120"/>
    <d v="2024-11-03T00:00:00"/>
    <d v="2024-11-12T00:00:00"/>
    <x v="0"/>
    <n v="31"/>
    <n v="27"/>
    <x v="81"/>
  </r>
  <r>
    <x v="82"/>
    <x v="2"/>
    <n v="8616"/>
    <d v="2024-11-12T00:00:00"/>
    <d v="2024-11-20T00:00:00"/>
    <x v="1"/>
    <n v="69"/>
    <n v="48"/>
    <x v="82"/>
  </r>
  <r>
    <x v="83"/>
    <x v="1"/>
    <n v="16257"/>
    <d v="2024-11-26T00:00:00"/>
    <d v="2024-11-27T00:00:00"/>
    <x v="0"/>
    <n v="73"/>
    <n v="74"/>
    <x v="83"/>
  </r>
  <r>
    <x v="84"/>
    <x v="0"/>
    <n v="16486"/>
    <d v="2024-11-16T00:00:00"/>
    <d v="2024-11-22T00:00:00"/>
    <x v="0"/>
    <n v="81"/>
    <n v="22"/>
    <x v="84"/>
  </r>
  <r>
    <x v="85"/>
    <x v="0"/>
    <n v="18646"/>
    <d v="2024-11-19T00:00:00"/>
    <d v="2024-11-24T00:00:00"/>
    <x v="0"/>
    <n v="20"/>
    <n v="51"/>
    <x v="85"/>
  </r>
  <r>
    <x v="86"/>
    <x v="3"/>
    <n v="16075"/>
    <d v="2024-11-05T00:00:00"/>
    <d v="2024-11-11T00:00:00"/>
    <x v="1"/>
    <n v="23"/>
    <n v="29"/>
    <x v="86"/>
  </r>
  <r>
    <x v="87"/>
    <x v="2"/>
    <n v="11208"/>
    <d v="2024-11-22T00:00:00"/>
    <d v="2024-11-27T00:00:00"/>
    <x v="0"/>
    <n v="69"/>
    <n v="93"/>
    <x v="87"/>
  </r>
  <r>
    <x v="88"/>
    <x v="1"/>
    <n v="18371"/>
    <d v="2024-11-25T00:00:00"/>
    <d v="2024-12-01T00:00:00"/>
    <x v="1"/>
    <n v="39"/>
    <n v="53"/>
    <x v="88"/>
  </r>
  <r>
    <x v="89"/>
    <x v="3"/>
    <n v="13835"/>
    <d v="2024-11-29T00:00:00"/>
    <d v="2024-12-04T00:00:00"/>
    <x v="1"/>
    <n v="44"/>
    <n v="74"/>
    <x v="89"/>
  </r>
  <r>
    <x v="90"/>
    <x v="1"/>
    <n v="15168"/>
    <d v="2024-11-14T00:00:00"/>
    <d v="2024-11-19T00:00:00"/>
    <x v="0"/>
    <n v="94"/>
    <n v="51"/>
    <x v="90"/>
  </r>
  <r>
    <x v="91"/>
    <x v="1"/>
    <n v="4049"/>
    <d v="2024-11-28T00:00:00"/>
    <d v="2024-12-02T00:00:00"/>
    <x v="0"/>
    <n v="46"/>
    <n v="69"/>
    <x v="91"/>
  </r>
  <r>
    <x v="92"/>
    <x v="3"/>
    <n v="7423"/>
    <d v="2024-11-05T00:00:00"/>
    <d v="2024-11-08T00:00:00"/>
    <x v="1"/>
    <n v="14"/>
    <n v="26"/>
    <x v="92"/>
  </r>
  <r>
    <x v="93"/>
    <x v="3"/>
    <n v="16589"/>
    <d v="2024-11-15T00:00:00"/>
    <d v="2024-11-18T00:00:00"/>
    <x v="0"/>
    <n v="92"/>
    <n v="27"/>
    <x v="93"/>
  </r>
  <r>
    <x v="94"/>
    <x v="3"/>
    <n v="9158"/>
    <d v="2024-11-17T00:00:00"/>
    <d v="2024-11-21T00:00:00"/>
    <x v="0"/>
    <n v="87"/>
    <n v="84"/>
    <x v="94"/>
  </r>
  <r>
    <x v="95"/>
    <x v="3"/>
    <n v="12248"/>
    <d v="2024-11-30T00:00:00"/>
    <d v="2024-12-09T00:00:00"/>
    <x v="1"/>
    <n v="35"/>
    <n v="76"/>
    <x v="95"/>
  </r>
  <r>
    <x v="96"/>
    <x v="3"/>
    <n v="9400"/>
    <d v="2024-11-14T00:00:00"/>
    <d v="2024-11-16T00:00:00"/>
    <x v="1"/>
    <n v="71"/>
    <n v="86"/>
    <x v="96"/>
  </r>
  <r>
    <x v="97"/>
    <x v="1"/>
    <n v="11874"/>
    <d v="2024-11-30T00:00:00"/>
    <d v="2024-12-09T00:00:00"/>
    <x v="0"/>
    <n v="13"/>
    <n v="78"/>
    <x v="97"/>
  </r>
  <r>
    <x v="98"/>
    <x v="3"/>
    <n v="17151"/>
    <d v="2024-11-20T00:00:00"/>
    <d v="2024-11-21T00:00:00"/>
    <x v="1"/>
    <n v="98"/>
    <n v="91"/>
    <x v="98"/>
  </r>
  <r>
    <x v="99"/>
    <x v="2"/>
    <n v="3154"/>
    <d v="2024-11-05T00:00:00"/>
    <d v="2024-11-06T00:00:00"/>
    <x v="0"/>
    <n v="51"/>
    <n v="73"/>
    <x v="99"/>
  </r>
  <r>
    <x v="100"/>
    <x v="0"/>
    <n v="6499"/>
    <d v="2024-11-12T00:00:00"/>
    <d v="2024-11-17T00:00:00"/>
    <x v="0"/>
    <n v="98"/>
    <n v="86"/>
    <x v="100"/>
  </r>
  <r>
    <x v="101"/>
    <x v="3"/>
    <n v="8295"/>
    <d v="2024-11-16T00:00:00"/>
    <d v="2024-11-22T00:00:00"/>
    <x v="0"/>
    <n v="27"/>
    <n v="70"/>
    <x v="101"/>
  </r>
  <r>
    <x v="102"/>
    <x v="3"/>
    <n v="14183"/>
    <d v="2024-11-26T00:00:00"/>
    <d v="2024-12-02T00:00:00"/>
    <x v="1"/>
    <n v="49"/>
    <n v="27"/>
    <x v="102"/>
  </r>
  <r>
    <x v="103"/>
    <x v="1"/>
    <n v="14874"/>
    <d v="2024-11-26T00:00:00"/>
    <d v="2024-11-29T00:00:00"/>
    <x v="0"/>
    <n v="81"/>
    <n v="53"/>
    <x v="103"/>
  </r>
  <r>
    <x v="104"/>
    <x v="3"/>
    <n v="7539"/>
    <d v="2024-11-16T00:00:00"/>
    <d v="2024-11-23T00:00:00"/>
    <x v="0"/>
    <n v="48"/>
    <n v="54"/>
    <x v="104"/>
  </r>
  <r>
    <x v="105"/>
    <x v="3"/>
    <n v="11637"/>
    <d v="2024-11-21T00:00:00"/>
    <d v="2024-11-30T00:00:00"/>
    <x v="0"/>
    <n v="23"/>
    <n v="97"/>
    <x v="105"/>
  </r>
  <r>
    <x v="106"/>
    <x v="3"/>
    <n v="17586"/>
    <d v="2024-11-07T00:00:00"/>
    <d v="2024-11-15T00:00:00"/>
    <x v="1"/>
    <n v="41"/>
    <n v="51"/>
    <x v="106"/>
  </r>
  <r>
    <x v="107"/>
    <x v="1"/>
    <n v="4557"/>
    <d v="2024-11-04T00:00:00"/>
    <d v="2024-11-10T00:00:00"/>
    <x v="1"/>
    <n v="60"/>
    <n v="65"/>
    <x v="107"/>
  </r>
  <r>
    <x v="108"/>
    <x v="3"/>
    <n v="7592"/>
    <d v="2024-11-01T00:00:00"/>
    <d v="2024-11-09T00:00:00"/>
    <x v="1"/>
    <n v="47"/>
    <n v="35"/>
    <x v="108"/>
  </r>
  <r>
    <x v="109"/>
    <x v="0"/>
    <n v="18482"/>
    <d v="2024-11-30T00:00:00"/>
    <d v="2024-12-05T00:00:00"/>
    <x v="1"/>
    <n v="32"/>
    <n v="87"/>
    <x v="109"/>
  </r>
  <r>
    <x v="110"/>
    <x v="1"/>
    <n v="4200"/>
    <d v="2024-11-30T00:00:00"/>
    <d v="2024-12-08T00:00:00"/>
    <x v="1"/>
    <n v="72"/>
    <n v="56"/>
    <x v="110"/>
  </r>
  <r>
    <x v="111"/>
    <x v="0"/>
    <n v="16172"/>
    <d v="2024-11-05T00:00:00"/>
    <d v="2024-11-09T00:00:00"/>
    <x v="0"/>
    <n v="24"/>
    <n v="73"/>
    <x v="111"/>
  </r>
  <r>
    <x v="112"/>
    <x v="1"/>
    <n v="4961"/>
    <d v="2024-11-23T00:00:00"/>
    <d v="2024-12-01T00:00:00"/>
    <x v="1"/>
    <n v="34"/>
    <n v="33"/>
    <x v="112"/>
  </r>
  <r>
    <x v="113"/>
    <x v="3"/>
    <n v="16207"/>
    <d v="2024-11-26T00:00:00"/>
    <d v="2024-11-28T00:00:00"/>
    <x v="1"/>
    <n v="26"/>
    <n v="74"/>
    <x v="113"/>
  </r>
  <r>
    <x v="114"/>
    <x v="0"/>
    <n v="13969"/>
    <d v="2024-11-10T00:00:00"/>
    <d v="2024-11-15T00:00:00"/>
    <x v="1"/>
    <n v="75"/>
    <n v="67"/>
    <x v="114"/>
  </r>
  <r>
    <x v="115"/>
    <x v="1"/>
    <n v="4869"/>
    <d v="2024-11-22T00:00:00"/>
    <d v="2024-12-01T00:00:00"/>
    <x v="0"/>
    <n v="87"/>
    <n v="26"/>
    <x v="115"/>
  </r>
  <r>
    <x v="116"/>
    <x v="2"/>
    <n v="19340"/>
    <d v="2024-11-05T00:00:00"/>
    <d v="2024-11-09T00:00:00"/>
    <x v="1"/>
    <n v="62"/>
    <n v="93"/>
    <x v="116"/>
  </r>
  <r>
    <x v="117"/>
    <x v="3"/>
    <n v="15992"/>
    <d v="2024-11-04T00:00:00"/>
    <d v="2024-11-10T00:00:00"/>
    <x v="1"/>
    <n v="60"/>
    <n v="26"/>
    <x v="117"/>
  </r>
  <r>
    <x v="118"/>
    <x v="1"/>
    <n v="7699"/>
    <d v="2024-11-02T00:00:00"/>
    <d v="2024-11-03T00:00:00"/>
    <x v="0"/>
    <n v="48"/>
    <n v="52"/>
    <x v="118"/>
  </r>
  <r>
    <x v="119"/>
    <x v="2"/>
    <n v="5987"/>
    <d v="2024-11-20T00:00:00"/>
    <d v="2024-11-29T00:00:00"/>
    <x v="1"/>
    <n v="60"/>
    <n v="42"/>
    <x v="119"/>
  </r>
  <r>
    <x v="120"/>
    <x v="1"/>
    <n v="15446"/>
    <d v="2024-11-10T00:00:00"/>
    <d v="2024-11-11T00:00:00"/>
    <x v="0"/>
    <n v="79"/>
    <n v="38"/>
    <x v="120"/>
  </r>
  <r>
    <x v="121"/>
    <x v="2"/>
    <n v="3218"/>
    <d v="2024-11-26T00:00:00"/>
    <d v="2024-12-01T00:00:00"/>
    <x v="0"/>
    <n v="15"/>
    <n v="38"/>
    <x v="121"/>
  </r>
  <r>
    <x v="122"/>
    <x v="3"/>
    <n v="6735"/>
    <d v="2024-11-19T00:00:00"/>
    <d v="2024-11-23T00:00:00"/>
    <x v="0"/>
    <n v="76"/>
    <n v="55"/>
    <x v="122"/>
  </r>
  <r>
    <x v="123"/>
    <x v="0"/>
    <n v="13296"/>
    <d v="2024-11-26T00:00:00"/>
    <d v="2024-11-29T00:00:00"/>
    <x v="0"/>
    <n v="16"/>
    <n v="48"/>
    <x v="123"/>
  </r>
  <r>
    <x v="124"/>
    <x v="2"/>
    <n v="6555"/>
    <d v="2024-11-01T00:00:00"/>
    <d v="2024-11-07T00:00:00"/>
    <x v="0"/>
    <n v="60"/>
    <n v="79"/>
    <x v="124"/>
  </r>
  <r>
    <x v="125"/>
    <x v="1"/>
    <n v="11146"/>
    <d v="2024-11-24T00:00:00"/>
    <d v="2024-11-26T00:00:00"/>
    <x v="1"/>
    <n v="81"/>
    <n v="21"/>
    <x v="125"/>
  </r>
  <r>
    <x v="126"/>
    <x v="3"/>
    <n v="10050"/>
    <d v="2024-11-05T00:00:00"/>
    <d v="2024-11-08T00:00:00"/>
    <x v="0"/>
    <n v="51"/>
    <n v="20"/>
    <x v="85"/>
  </r>
  <r>
    <x v="127"/>
    <x v="2"/>
    <n v="14757"/>
    <d v="2024-11-13T00:00:00"/>
    <d v="2024-11-18T00:00:00"/>
    <x v="0"/>
    <n v="73"/>
    <n v="66"/>
    <x v="126"/>
  </r>
  <r>
    <x v="128"/>
    <x v="1"/>
    <n v="19429"/>
    <d v="2024-11-04T00:00:00"/>
    <d v="2024-11-13T00:00:00"/>
    <x v="1"/>
    <n v="24"/>
    <n v="88"/>
    <x v="127"/>
  </r>
  <r>
    <x v="129"/>
    <x v="1"/>
    <n v="8893"/>
    <d v="2024-11-16T00:00:00"/>
    <d v="2024-11-18T00:00:00"/>
    <x v="0"/>
    <n v="38"/>
    <n v="39"/>
    <x v="128"/>
  </r>
  <r>
    <x v="130"/>
    <x v="1"/>
    <n v="16373"/>
    <d v="2024-11-24T00:00:00"/>
    <d v="2024-12-02T00:00:00"/>
    <x v="1"/>
    <n v="42"/>
    <n v="30"/>
    <x v="129"/>
  </r>
  <r>
    <x v="131"/>
    <x v="2"/>
    <n v="16565"/>
    <d v="2024-11-16T00:00:00"/>
    <d v="2024-11-18T00:00:00"/>
    <x v="1"/>
    <n v="36"/>
    <n v="21"/>
    <x v="130"/>
  </r>
  <r>
    <x v="132"/>
    <x v="2"/>
    <n v="5436"/>
    <d v="2024-11-23T00:00:00"/>
    <d v="2024-11-28T00:00:00"/>
    <x v="1"/>
    <n v="45"/>
    <n v="86"/>
    <x v="131"/>
  </r>
  <r>
    <x v="133"/>
    <x v="2"/>
    <n v="10754"/>
    <d v="2024-11-02T00:00:00"/>
    <d v="2024-11-09T00:00:00"/>
    <x v="0"/>
    <n v="38"/>
    <n v="31"/>
    <x v="132"/>
  </r>
  <r>
    <x v="134"/>
    <x v="0"/>
    <n v="12677"/>
    <d v="2024-11-17T00:00:00"/>
    <d v="2024-11-25T00:00:00"/>
    <x v="0"/>
    <n v="47"/>
    <n v="39"/>
    <x v="133"/>
  </r>
  <r>
    <x v="135"/>
    <x v="2"/>
    <n v="7895"/>
    <d v="2024-11-28T00:00:00"/>
    <d v="2024-11-29T00:00:00"/>
    <x v="0"/>
    <n v="66"/>
    <n v="24"/>
    <x v="64"/>
  </r>
  <r>
    <x v="136"/>
    <x v="2"/>
    <n v="18609"/>
    <d v="2024-11-27T00:00:00"/>
    <d v="2024-12-03T00:00:00"/>
    <x v="1"/>
    <n v="36"/>
    <n v="56"/>
    <x v="44"/>
  </r>
  <r>
    <x v="137"/>
    <x v="2"/>
    <n v="17636"/>
    <d v="2024-11-20T00:00:00"/>
    <d v="2024-11-21T00:00:00"/>
    <x v="0"/>
    <n v="64"/>
    <n v="57"/>
    <x v="134"/>
  </r>
  <r>
    <x v="138"/>
    <x v="0"/>
    <n v="9022"/>
    <d v="2024-11-24T00:00:00"/>
    <d v="2024-11-26T00:00:00"/>
    <x v="0"/>
    <n v="42"/>
    <n v="28"/>
    <x v="63"/>
  </r>
  <r>
    <x v="139"/>
    <x v="2"/>
    <n v="11151"/>
    <d v="2024-11-12T00:00:00"/>
    <d v="2024-11-13T00:00:00"/>
    <x v="0"/>
    <n v="77"/>
    <n v="72"/>
    <x v="135"/>
  </r>
  <r>
    <x v="140"/>
    <x v="1"/>
    <n v="7600"/>
    <d v="2024-11-18T00:00:00"/>
    <d v="2024-11-23T00:00:00"/>
    <x v="1"/>
    <n v="95"/>
    <n v="63"/>
    <x v="136"/>
  </r>
  <r>
    <x v="141"/>
    <x v="2"/>
    <n v="9996"/>
    <d v="2024-11-03T00:00:00"/>
    <d v="2024-11-12T00:00:00"/>
    <x v="1"/>
    <n v="75"/>
    <n v="43"/>
    <x v="137"/>
  </r>
  <r>
    <x v="142"/>
    <x v="1"/>
    <n v="11007"/>
    <d v="2024-11-28T00:00:00"/>
    <d v="2024-12-04T00:00:00"/>
    <x v="0"/>
    <n v="19"/>
    <n v="93"/>
    <x v="138"/>
  </r>
  <r>
    <x v="143"/>
    <x v="1"/>
    <n v="14946"/>
    <d v="2024-11-01T00:00:00"/>
    <d v="2024-11-02T00:00:00"/>
    <x v="0"/>
    <n v="14"/>
    <n v="49"/>
    <x v="139"/>
  </r>
  <r>
    <x v="144"/>
    <x v="1"/>
    <n v="6642"/>
    <d v="2024-11-01T00:00:00"/>
    <d v="2024-11-02T00:00:00"/>
    <x v="0"/>
    <n v="83"/>
    <n v="78"/>
    <x v="140"/>
  </r>
  <r>
    <x v="145"/>
    <x v="0"/>
    <n v="13312"/>
    <d v="2024-11-29T00:00:00"/>
    <d v="2024-12-01T00:00:00"/>
    <x v="0"/>
    <n v="47"/>
    <n v="33"/>
    <x v="141"/>
  </r>
  <r>
    <x v="146"/>
    <x v="0"/>
    <n v="9679"/>
    <d v="2024-11-19T00:00:00"/>
    <d v="2024-11-28T00:00:00"/>
    <x v="1"/>
    <n v="22"/>
    <n v="28"/>
    <x v="26"/>
  </r>
  <r>
    <x v="147"/>
    <x v="0"/>
    <n v="10208"/>
    <d v="2024-11-11T00:00:00"/>
    <d v="2024-11-14T00:00:00"/>
    <x v="1"/>
    <n v="40"/>
    <n v="59"/>
    <x v="142"/>
  </r>
  <r>
    <x v="148"/>
    <x v="2"/>
    <n v="12716"/>
    <d v="2024-11-05T00:00:00"/>
    <d v="2024-11-06T00:00:00"/>
    <x v="1"/>
    <n v="56"/>
    <n v="85"/>
    <x v="143"/>
  </r>
  <r>
    <x v="149"/>
    <x v="1"/>
    <n v="19453"/>
    <d v="2024-11-12T00:00:00"/>
    <d v="2024-11-17T00:00:00"/>
    <x v="1"/>
    <n v="97"/>
    <n v="44"/>
    <x v="144"/>
  </r>
  <r>
    <x v="150"/>
    <x v="0"/>
    <n v="5444"/>
    <d v="2024-11-03T00:00:00"/>
    <d v="2024-11-10T00:00:00"/>
    <x v="0"/>
    <n v="61"/>
    <n v="92"/>
    <x v="145"/>
  </r>
  <r>
    <x v="151"/>
    <x v="0"/>
    <n v="12757"/>
    <d v="2024-11-01T00:00:00"/>
    <d v="2024-11-07T00:00:00"/>
    <x v="0"/>
    <n v="65"/>
    <n v="41"/>
    <x v="146"/>
  </r>
  <r>
    <x v="152"/>
    <x v="2"/>
    <n v="16434"/>
    <d v="2024-11-01T00:00:00"/>
    <d v="2024-11-02T00:00:00"/>
    <x v="0"/>
    <n v="24"/>
    <n v="23"/>
    <x v="147"/>
  </r>
  <r>
    <x v="153"/>
    <x v="0"/>
    <n v="3060"/>
    <d v="2024-11-08T00:00:00"/>
    <d v="2024-11-13T00:00:00"/>
    <x v="1"/>
    <n v="38"/>
    <n v="45"/>
    <x v="50"/>
  </r>
  <r>
    <x v="154"/>
    <x v="2"/>
    <n v="5420"/>
    <d v="2024-11-10T00:00:00"/>
    <d v="2024-11-15T00:00:00"/>
    <x v="0"/>
    <n v="17"/>
    <n v="77"/>
    <x v="148"/>
  </r>
  <r>
    <x v="155"/>
    <x v="3"/>
    <n v="2301"/>
    <d v="2024-11-11T00:00:00"/>
    <d v="2024-11-17T00:00:00"/>
    <x v="1"/>
    <n v="14"/>
    <n v="48"/>
    <x v="149"/>
  </r>
  <r>
    <x v="156"/>
    <x v="0"/>
    <n v="14468"/>
    <d v="2024-11-12T00:00:00"/>
    <d v="2024-11-15T00:00:00"/>
    <x v="1"/>
    <n v="38"/>
    <n v="56"/>
    <x v="150"/>
  </r>
  <r>
    <x v="157"/>
    <x v="3"/>
    <n v="18990"/>
    <d v="2024-11-29T00:00:00"/>
    <d v="2024-12-04T00:00:00"/>
    <x v="0"/>
    <n v="56"/>
    <n v="94"/>
    <x v="151"/>
  </r>
  <r>
    <x v="158"/>
    <x v="2"/>
    <n v="2699"/>
    <d v="2024-11-13T00:00:00"/>
    <d v="2024-11-20T00:00:00"/>
    <x v="0"/>
    <n v="77"/>
    <n v="89"/>
    <x v="152"/>
  </r>
  <r>
    <x v="159"/>
    <x v="1"/>
    <n v="2190"/>
    <d v="2024-11-12T00:00:00"/>
    <d v="2024-11-17T00:00:00"/>
    <x v="0"/>
    <n v="85"/>
    <n v="37"/>
    <x v="153"/>
  </r>
  <r>
    <x v="160"/>
    <x v="0"/>
    <n v="12492"/>
    <d v="2024-11-14T00:00:00"/>
    <d v="2024-11-19T00:00:00"/>
    <x v="1"/>
    <n v="54"/>
    <n v="61"/>
    <x v="154"/>
  </r>
  <r>
    <x v="161"/>
    <x v="2"/>
    <n v="19364"/>
    <d v="2024-11-02T00:00:00"/>
    <d v="2024-11-07T00:00:00"/>
    <x v="0"/>
    <n v="11"/>
    <n v="60"/>
    <x v="155"/>
  </r>
  <r>
    <x v="162"/>
    <x v="1"/>
    <n v="4975"/>
    <d v="2024-11-29T00:00:00"/>
    <d v="2024-12-02T00:00:00"/>
    <x v="1"/>
    <n v="36"/>
    <n v="57"/>
    <x v="156"/>
  </r>
  <r>
    <x v="163"/>
    <x v="1"/>
    <n v="8102"/>
    <d v="2024-11-19T00:00:00"/>
    <d v="2024-11-20T00:00:00"/>
    <x v="0"/>
    <n v="45"/>
    <n v="53"/>
    <x v="157"/>
  </r>
  <r>
    <x v="164"/>
    <x v="3"/>
    <n v="19568"/>
    <d v="2024-11-18T00:00:00"/>
    <d v="2024-11-23T00:00:00"/>
    <x v="1"/>
    <n v="45"/>
    <n v="36"/>
    <x v="158"/>
  </r>
  <r>
    <x v="165"/>
    <x v="2"/>
    <n v="3816"/>
    <d v="2024-11-03T00:00:00"/>
    <d v="2024-11-12T00:00:00"/>
    <x v="1"/>
    <n v="35"/>
    <n v="56"/>
    <x v="159"/>
  </r>
  <r>
    <x v="166"/>
    <x v="1"/>
    <n v="2569"/>
    <d v="2024-11-23T00:00:00"/>
    <d v="2024-11-24T00:00:00"/>
    <x v="0"/>
    <n v="52"/>
    <n v="44"/>
    <x v="160"/>
  </r>
  <r>
    <x v="167"/>
    <x v="0"/>
    <n v="7442"/>
    <d v="2024-11-17T00:00:00"/>
    <d v="2024-11-20T00:00:00"/>
    <x v="1"/>
    <n v="36"/>
    <n v="95"/>
    <x v="161"/>
  </r>
  <r>
    <x v="168"/>
    <x v="0"/>
    <n v="3895"/>
    <d v="2024-11-26T00:00:00"/>
    <d v="2024-11-30T00:00:00"/>
    <x v="1"/>
    <n v="78"/>
    <n v="46"/>
    <x v="162"/>
  </r>
  <r>
    <x v="169"/>
    <x v="3"/>
    <n v="5863"/>
    <d v="2024-11-08T00:00:00"/>
    <d v="2024-11-09T00:00:00"/>
    <x v="0"/>
    <n v="29"/>
    <n v="76"/>
    <x v="163"/>
  </r>
  <r>
    <x v="170"/>
    <x v="1"/>
    <n v="14913"/>
    <d v="2024-11-29T00:00:00"/>
    <d v="2024-11-30T00:00:00"/>
    <x v="1"/>
    <n v="20"/>
    <n v="50"/>
    <x v="164"/>
  </r>
  <r>
    <x v="171"/>
    <x v="2"/>
    <n v="9455"/>
    <d v="2024-11-26T00:00:00"/>
    <d v="2024-12-04T00:00:00"/>
    <x v="0"/>
    <n v="83"/>
    <n v="25"/>
    <x v="165"/>
  </r>
  <r>
    <x v="172"/>
    <x v="0"/>
    <n v="6014"/>
    <d v="2024-11-10T00:00:00"/>
    <d v="2024-11-12T00:00:00"/>
    <x v="1"/>
    <n v="47"/>
    <n v="59"/>
    <x v="166"/>
  </r>
  <r>
    <x v="173"/>
    <x v="1"/>
    <n v="13093"/>
    <d v="2024-11-26T00:00:00"/>
    <d v="2024-12-04T00:00:00"/>
    <x v="0"/>
    <n v="15"/>
    <n v="31"/>
    <x v="167"/>
  </r>
  <r>
    <x v="174"/>
    <x v="1"/>
    <n v="5009"/>
    <d v="2024-11-30T00:00:00"/>
    <d v="2024-12-07T00:00:00"/>
    <x v="0"/>
    <n v="81"/>
    <n v="72"/>
    <x v="168"/>
  </r>
  <r>
    <x v="175"/>
    <x v="3"/>
    <n v="18538"/>
    <d v="2024-11-02T00:00:00"/>
    <d v="2024-11-04T00:00:00"/>
    <x v="1"/>
    <n v="32"/>
    <n v="90"/>
    <x v="169"/>
  </r>
  <r>
    <x v="176"/>
    <x v="0"/>
    <n v="12729"/>
    <d v="2024-11-19T00:00:00"/>
    <d v="2024-11-25T00:00:00"/>
    <x v="1"/>
    <n v="56"/>
    <n v="29"/>
    <x v="170"/>
  </r>
  <r>
    <x v="177"/>
    <x v="0"/>
    <n v="3409"/>
    <d v="2024-11-09T00:00:00"/>
    <d v="2024-11-15T00:00:00"/>
    <x v="1"/>
    <n v="99"/>
    <n v="64"/>
    <x v="171"/>
  </r>
  <r>
    <x v="178"/>
    <x v="2"/>
    <n v="14249"/>
    <d v="2024-11-07T00:00:00"/>
    <d v="2024-11-10T00:00:00"/>
    <x v="1"/>
    <n v="55"/>
    <n v="36"/>
    <x v="172"/>
  </r>
  <r>
    <x v="179"/>
    <x v="0"/>
    <n v="2784"/>
    <d v="2024-11-04T00:00:00"/>
    <d v="2024-11-06T00:00:00"/>
    <x v="1"/>
    <n v="21"/>
    <n v="45"/>
    <x v="173"/>
  </r>
  <r>
    <x v="180"/>
    <x v="2"/>
    <n v="10096"/>
    <d v="2024-11-26T00:00:00"/>
    <d v="2024-11-27T00:00:00"/>
    <x v="0"/>
    <n v="99"/>
    <n v="81"/>
    <x v="174"/>
  </r>
  <r>
    <x v="181"/>
    <x v="0"/>
    <n v="9560"/>
    <d v="2024-11-21T00:00:00"/>
    <d v="2024-11-27T00:00:00"/>
    <x v="1"/>
    <n v="22"/>
    <n v="65"/>
    <x v="175"/>
  </r>
  <r>
    <x v="182"/>
    <x v="3"/>
    <n v="14533"/>
    <d v="2024-11-18T00:00:00"/>
    <d v="2024-11-23T00:00:00"/>
    <x v="0"/>
    <n v="71"/>
    <n v="83"/>
    <x v="176"/>
  </r>
  <r>
    <x v="183"/>
    <x v="0"/>
    <n v="9343"/>
    <d v="2024-11-13T00:00:00"/>
    <d v="2024-11-22T00:00:00"/>
    <x v="0"/>
    <n v="91"/>
    <n v="21"/>
    <x v="177"/>
  </r>
  <r>
    <x v="184"/>
    <x v="2"/>
    <n v="9206"/>
    <d v="2024-11-11T00:00:00"/>
    <d v="2024-11-12T00:00:00"/>
    <x v="1"/>
    <n v="98"/>
    <n v="73"/>
    <x v="178"/>
  </r>
  <r>
    <x v="185"/>
    <x v="2"/>
    <n v="7801"/>
    <d v="2024-11-29T00:00:00"/>
    <d v="2024-12-06T00:00:00"/>
    <x v="0"/>
    <n v="69"/>
    <n v="84"/>
    <x v="179"/>
  </r>
  <r>
    <x v="186"/>
    <x v="3"/>
    <n v="18921"/>
    <d v="2024-11-24T00:00:00"/>
    <d v="2024-11-29T00:00:00"/>
    <x v="0"/>
    <n v="52"/>
    <n v="70"/>
    <x v="180"/>
  </r>
  <r>
    <x v="187"/>
    <x v="0"/>
    <n v="7986"/>
    <d v="2024-11-04T00:00:00"/>
    <d v="2024-11-09T00:00:00"/>
    <x v="0"/>
    <n v="85"/>
    <n v="72"/>
    <x v="181"/>
  </r>
  <r>
    <x v="188"/>
    <x v="0"/>
    <n v="12647"/>
    <d v="2024-11-25T00:00:00"/>
    <d v="2024-11-27T00:00:00"/>
    <x v="0"/>
    <n v="77"/>
    <n v="55"/>
    <x v="182"/>
  </r>
  <r>
    <x v="189"/>
    <x v="3"/>
    <n v="10716"/>
    <d v="2024-11-21T00:00:00"/>
    <d v="2024-11-24T00:00:00"/>
    <x v="1"/>
    <n v="14"/>
    <n v="45"/>
    <x v="183"/>
  </r>
  <r>
    <x v="190"/>
    <x v="0"/>
    <n v="14323"/>
    <d v="2024-11-29T00:00:00"/>
    <d v="2024-12-06T00:00:00"/>
    <x v="0"/>
    <n v="46"/>
    <n v="48"/>
    <x v="184"/>
  </r>
  <r>
    <x v="191"/>
    <x v="0"/>
    <n v="6780"/>
    <d v="2024-11-25T00:00:00"/>
    <d v="2024-12-01T00:00:00"/>
    <x v="1"/>
    <n v="81"/>
    <n v="40"/>
    <x v="185"/>
  </r>
  <r>
    <x v="192"/>
    <x v="2"/>
    <n v="4368"/>
    <d v="2024-11-04T00:00:00"/>
    <d v="2024-11-06T00:00:00"/>
    <x v="1"/>
    <n v="40"/>
    <n v="30"/>
    <x v="186"/>
  </r>
  <r>
    <x v="193"/>
    <x v="0"/>
    <n v="14039"/>
    <d v="2024-11-10T00:00:00"/>
    <d v="2024-11-16T00:00:00"/>
    <x v="0"/>
    <n v="18"/>
    <n v="59"/>
    <x v="187"/>
  </r>
  <r>
    <x v="194"/>
    <x v="0"/>
    <n v="8655"/>
    <d v="2024-11-05T00:00:00"/>
    <d v="2024-11-07T00:00:00"/>
    <x v="1"/>
    <n v="60"/>
    <n v="30"/>
    <x v="188"/>
  </r>
  <r>
    <x v="195"/>
    <x v="3"/>
    <n v="10173"/>
    <d v="2024-11-09T00:00:00"/>
    <d v="2024-11-11T00:00:00"/>
    <x v="1"/>
    <n v="38"/>
    <n v="55"/>
    <x v="189"/>
  </r>
  <r>
    <x v="196"/>
    <x v="3"/>
    <n v="6495"/>
    <d v="2024-11-24T00:00:00"/>
    <d v="2024-11-26T00:00:00"/>
    <x v="1"/>
    <n v="87"/>
    <n v="78"/>
    <x v="190"/>
  </r>
  <r>
    <x v="197"/>
    <x v="1"/>
    <n v="12893"/>
    <d v="2024-11-03T00:00:00"/>
    <d v="2024-11-06T00:00:00"/>
    <x v="0"/>
    <n v="49"/>
    <n v="58"/>
    <x v="67"/>
  </r>
  <r>
    <x v="198"/>
    <x v="2"/>
    <n v="15403"/>
    <d v="2024-11-17T00:00:00"/>
    <d v="2024-11-19T00:00:00"/>
    <x v="1"/>
    <n v="50"/>
    <n v="73"/>
    <x v="191"/>
  </r>
  <r>
    <x v="199"/>
    <x v="0"/>
    <n v="15121"/>
    <d v="2024-11-03T00:00:00"/>
    <d v="2024-11-07T00:00:00"/>
    <x v="1"/>
    <n v="95"/>
    <n v="74"/>
    <x v="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291FFC-DA8D-4C6F-8C1E-3C2E8E070CDC}" name="PivotTable12"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H7" firstHeaderRow="1" firstDataRow="1" firstDataCol="1"/>
  <pivotFields count="9">
    <pivotField axis="axisRow" showAll="0" measureFilter="1">
      <items count="201">
        <item x="96"/>
        <item x="6"/>
        <item x="198"/>
        <item x="89"/>
        <item x="175"/>
        <item x="180"/>
        <item x="195"/>
        <item x="0"/>
        <item x="167"/>
        <item x="166"/>
        <item x="65"/>
        <item x="144"/>
        <item x="74"/>
        <item x="139"/>
        <item x="76"/>
        <item x="182"/>
        <item x="193"/>
        <item x="44"/>
        <item x="2"/>
        <item x="95"/>
        <item x="43"/>
        <item x="29"/>
        <item x="122"/>
        <item x="183"/>
        <item x="117"/>
        <item x="154"/>
        <item x="58"/>
        <item x="15"/>
        <item x="91"/>
        <item x="39"/>
        <item x="72"/>
        <item x="128"/>
        <item x="101"/>
        <item x="19"/>
        <item x="67"/>
        <item x="37"/>
        <item x="140"/>
        <item x="93"/>
        <item x="103"/>
        <item x="87"/>
        <item x="143"/>
        <item x="5"/>
        <item x="62"/>
        <item x="137"/>
        <item x="4"/>
        <item x="113"/>
        <item x="52"/>
        <item x="85"/>
        <item x="133"/>
        <item x="169"/>
        <item x="196"/>
        <item x="3"/>
        <item x="51"/>
        <item x="171"/>
        <item x="138"/>
        <item x="141"/>
        <item x="150"/>
        <item x="97"/>
        <item x="192"/>
        <item x="34"/>
        <item x="190"/>
        <item x="92"/>
        <item x="152"/>
        <item x="17"/>
        <item x="153"/>
        <item x="115"/>
        <item x="63"/>
        <item x="185"/>
        <item x="131"/>
        <item x="14"/>
        <item x="38"/>
        <item x="130"/>
        <item x="49"/>
        <item x="125"/>
        <item x="22"/>
        <item x="108"/>
        <item x="41"/>
        <item x="8"/>
        <item x="114"/>
        <item x="61"/>
        <item x="7"/>
        <item x="124"/>
        <item x="16"/>
        <item x="68"/>
        <item x="31"/>
        <item x="11"/>
        <item x="159"/>
        <item x="170"/>
        <item x="127"/>
        <item x="157"/>
        <item x="119"/>
        <item x="35"/>
        <item x="163"/>
        <item x="161"/>
        <item x="64"/>
        <item x="189"/>
        <item x="50"/>
        <item x="98"/>
        <item x="168"/>
        <item x="165"/>
        <item x="194"/>
        <item x="59"/>
        <item x="46"/>
        <item x="94"/>
        <item x="186"/>
        <item x="70"/>
        <item x="135"/>
        <item x="48"/>
        <item x="172"/>
        <item x="156"/>
        <item x="145"/>
        <item x="25"/>
        <item x="112"/>
        <item x="26"/>
        <item x="191"/>
        <item x="148"/>
        <item x="80"/>
        <item x="121"/>
        <item x="120"/>
        <item x="73"/>
        <item x="178"/>
        <item x="184"/>
        <item x="162"/>
        <item x="88"/>
        <item x="79"/>
        <item x="12"/>
        <item x="18"/>
        <item x="188"/>
        <item x="105"/>
        <item x="20"/>
        <item x="53"/>
        <item x="132"/>
        <item x="24"/>
        <item x="173"/>
        <item x="90"/>
        <item x="129"/>
        <item x="77"/>
        <item x="158"/>
        <item x="176"/>
        <item x="82"/>
        <item x="55"/>
        <item x="164"/>
        <item x="177"/>
        <item x="13"/>
        <item x="155"/>
        <item x="126"/>
        <item x="123"/>
        <item x="81"/>
        <item x="10"/>
        <item x="199"/>
        <item x="33"/>
        <item x="174"/>
        <item x="1"/>
        <item x="151"/>
        <item x="142"/>
        <item x="21"/>
        <item x="160"/>
        <item x="83"/>
        <item x="40"/>
        <item x="45"/>
        <item x="30"/>
        <item x="134"/>
        <item x="102"/>
        <item x="57"/>
        <item x="104"/>
        <item x="110"/>
        <item x="179"/>
        <item x="136"/>
        <item x="9"/>
        <item x="187"/>
        <item x="100"/>
        <item x="75"/>
        <item x="47"/>
        <item x="54"/>
        <item x="111"/>
        <item x="106"/>
        <item x="109"/>
        <item x="36"/>
        <item x="42"/>
        <item x="86"/>
        <item x="107"/>
        <item x="197"/>
        <item x="149"/>
        <item x="27"/>
        <item x="147"/>
        <item x="99"/>
        <item x="78"/>
        <item x="56"/>
        <item x="181"/>
        <item x="23"/>
        <item x="66"/>
        <item x="32"/>
        <item x="118"/>
        <item x="60"/>
        <item x="146"/>
        <item x="71"/>
        <item x="69"/>
        <item x="116"/>
        <item x="84"/>
        <item x="28"/>
        <item t="default"/>
      </items>
    </pivotField>
    <pivotField showAll="0">
      <items count="5">
        <item x="3"/>
        <item x="1"/>
        <item x="0"/>
        <item x="2"/>
        <item t="default"/>
      </items>
    </pivotField>
    <pivotField showAll="0"/>
    <pivotField numFmtId="14" showAll="0"/>
    <pivotField numFmtId="14" showAll="0"/>
    <pivotField showAll="0">
      <items count="3">
        <item x="0"/>
        <item x="1"/>
        <item t="default"/>
      </items>
    </pivotField>
    <pivotField showAll="0"/>
    <pivotField showAll="0"/>
    <pivotField dataField="1" showAll="0">
      <items count="194">
        <item x="8"/>
        <item x="2"/>
        <item x="92"/>
        <item x="52"/>
        <item x="167"/>
        <item x="147"/>
        <item x="121"/>
        <item x="14"/>
        <item x="26"/>
        <item x="183"/>
        <item x="48"/>
        <item x="155"/>
        <item x="86"/>
        <item x="149"/>
        <item x="139"/>
        <item x="35"/>
        <item x="30"/>
        <item x="55"/>
        <item x="130"/>
        <item x="12"/>
        <item x="123"/>
        <item x="3"/>
        <item x="43"/>
        <item x="78"/>
        <item x="81"/>
        <item x="47"/>
        <item x="173"/>
        <item x="37"/>
        <item x="0"/>
        <item x="164"/>
        <item x="97"/>
        <item x="85"/>
        <item x="32"/>
        <item x="187"/>
        <item x="112"/>
        <item x="79"/>
        <item x="63"/>
        <item x="132"/>
        <item x="74"/>
        <item x="186"/>
        <item x="45"/>
        <item x="129"/>
        <item x="21"/>
        <item x="33"/>
        <item x="148"/>
        <item x="102"/>
        <item x="175"/>
        <item x="61"/>
        <item x="80"/>
        <item x="57"/>
        <item x="128"/>
        <item x="141"/>
        <item x="117"/>
        <item x="22"/>
        <item x="64"/>
        <item x="4"/>
        <item x="29"/>
        <item x="158"/>
        <item x="170"/>
        <item x="108"/>
        <item x="125"/>
        <item x="50"/>
        <item x="72"/>
        <item x="111"/>
        <item x="138"/>
        <item x="41"/>
        <item x="84"/>
        <item x="188"/>
        <item x="53"/>
        <item x="133"/>
        <item x="101"/>
        <item x="177"/>
        <item x="113"/>
        <item x="60"/>
        <item x="159"/>
        <item x="172"/>
        <item x="28"/>
        <item x="44"/>
        <item x="156"/>
        <item x="88"/>
        <item x="165"/>
        <item x="189"/>
        <item x="106"/>
        <item x="18"/>
        <item x="127"/>
        <item x="150"/>
        <item x="49"/>
        <item x="71"/>
        <item x="163"/>
        <item x="184"/>
        <item x="105"/>
        <item x="115"/>
        <item x="160"/>
        <item x="58"/>
        <item x="142"/>
        <item x="157"/>
        <item x="46"/>
        <item x="93"/>
        <item x="118"/>
        <item x="7"/>
        <item x="119"/>
        <item x="104"/>
        <item x="70"/>
        <item x="95"/>
        <item x="146"/>
        <item x="1"/>
        <item x="5"/>
        <item x="68"/>
        <item x="166"/>
        <item x="109"/>
        <item x="66"/>
        <item x="67"/>
        <item x="169"/>
        <item x="24"/>
        <item x="13"/>
        <item x="120"/>
        <item x="77"/>
        <item x="153"/>
        <item x="91"/>
        <item x="65"/>
        <item x="38"/>
        <item x="137"/>
        <item x="185"/>
        <item x="89"/>
        <item x="40"/>
        <item x="6"/>
        <item x="154"/>
        <item x="82"/>
        <item x="161"/>
        <item x="162"/>
        <item x="23"/>
        <item x="51"/>
        <item x="180"/>
        <item x="134"/>
        <item x="191"/>
        <item x="75"/>
        <item x="99"/>
        <item x="131"/>
        <item x="107"/>
        <item x="54"/>
        <item x="15"/>
        <item x="110"/>
        <item x="122"/>
        <item x="69"/>
        <item x="39"/>
        <item x="182"/>
        <item x="144"/>
        <item x="62"/>
        <item x="103"/>
        <item x="25"/>
        <item x="34"/>
        <item x="42"/>
        <item x="124"/>
        <item x="17"/>
        <item x="143"/>
        <item x="90"/>
        <item x="126"/>
        <item x="76"/>
        <item x="31"/>
        <item x="114"/>
        <item x="151"/>
        <item x="83"/>
        <item x="135"/>
        <item x="145"/>
        <item x="59"/>
        <item x="116"/>
        <item x="179"/>
        <item x="168"/>
        <item x="176"/>
        <item x="20"/>
        <item x="136"/>
        <item x="96"/>
        <item x="181"/>
        <item x="9"/>
        <item x="11"/>
        <item x="171"/>
        <item x="87"/>
        <item x="140"/>
        <item x="16"/>
        <item x="190"/>
        <item x="10"/>
        <item x="152"/>
        <item x="192"/>
        <item x="178"/>
        <item x="36"/>
        <item x="94"/>
        <item x="27"/>
        <item x="174"/>
        <item x="73"/>
        <item x="19"/>
        <item x="56"/>
        <item x="100"/>
        <item x="98"/>
        <item t="default"/>
      </items>
    </pivotField>
  </pivotFields>
  <rowFields count="1">
    <field x="0"/>
  </rowFields>
  <rowItems count="6">
    <i>
      <x v="33"/>
    </i>
    <i>
      <x v="97"/>
    </i>
    <i>
      <x v="119"/>
    </i>
    <i>
      <x v="170"/>
    </i>
    <i>
      <x v="187"/>
    </i>
    <i t="grand">
      <x/>
    </i>
  </rowItems>
  <colItems count="1">
    <i/>
  </colItems>
  <dataFields count="1">
    <dataField name="Sum of Revenue" fld="8" baseField="0" baseItem="0"/>
  </dataFields>
  <pivotTableStyleInfo name="PivotStylePreset2_Accent1"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02640-1701-4101-AA07-DE76B8CCE6D6}" name="PivotTable11"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1:E6" firstHeaderRow="1" firstDataRow="1" firstDataCol="1"/>
  <pivotFields count="9">
    <pivotField showAll="0">
      <items count="201">
        <item x="96"/>
        <item x="6"/>
        <item x="198"/>
        <item x="89"/>
        <item x="175"/>
        <item x="180"/>
        <item x="195"/>
        <item x="0"/>
        <item x="167"/>
        <item x="166"/>
        <item x="65"/>
        <item x="144"/>
        <item x="74"/>
        <item x="139"/>
        <item x="76"/>
        <item x="182"/>
        <item x="193"/>
        <item x="44"/>
        <item x="2"/>
        <item x="95"/>
        <item x="43"/>
        <item x="29"/>
        <item x="122"/>
        <item x="183"/>
        <item x="117"/>
        <item x="154"/>
        <item x="58"/>
        <item x="15"/>
        <item x="91"/>
        <item x="39"/>
        <item x="72"/>
        <item x="128"/>
        <item x="101"/>
        <item x="19"/>
        <item x="67"/>
        <item x="37"/>
        <item x="140"/>
        <item x="93"/>
        <item x="103"/>
        <item x="87"/>
        <item x="143"/>
        <item x="5"/>
        <item x="62"/>
        <item x="137"/>
        <item x="4"/>
        <item x="113"/>
        <item x="52"/>
        <item x="85"/>
        <item x="133"/>
        <item x="169"/>
        <item x="196"/>
        <item x="3"/>
        <item x="51"/>
        <item x="171"/>
        <item x="138"/>
        <item x="141"/>
        <item x="150"/>
        <item x="97"/>
        <item x="192"/>
        <item x="34"/>
        <item x="190"/>
        <item x="92"/>
        <item x="152"/>
        <item x="17"/>
        <item x="153"/>
        <item x="115"/>
        <item x="63"/>
        <item x="185"/>
        <item x="131"/>
        <item x="14"/>
        <item x="38"/>
        <item x="130"/>
        <item x="49"/>
        <item x="125"/>
        <item x="22"/>
        <item x="108"/>
        <item x="41"/>
        <item x="8"/>
        <item x="114"/>
        <item x="61"/>
        <item x="7"/>
        <item x="124"/>
        <item x="16"/>
        <item x="68"/>
        <item x="31"/>
        <item x="11"/>
        <item x="159"/>
        <item x="170"/>
        <item x="127"/>
        <item x="157"/>
        <item x="119"/>
        <item x="35"/>
        <item x="163"/>
        <item x="161"/>
        <item x="64"/>
        <item x="189"/>
        <item x="50"/>
        <item x="98"/>
        <item x="168"/>
        <item x="165"/>
        <item x="194"/>
        <item x="59"/>
        <item x="46"/>
        <item x="94"/>
        <item x="186"/>
        <item x="70"/>
        <item x="135"/>
        <item x="48"/>
        <item x="172"/>
        <item x="156"/>
        <item x="145"/>
        <item x="25"/>
        <item x="112"/>
        <item x="26"/>
        <item x="191"/>
        <item x="148"/>
        <item x="80"/>
        <item x="121"/>
        <item x="120"/>
        <item x="73"/>
        <item x="178"/>
        <item x="184"/>
        <item x="162"/>
        <item x="88"/>
        <item x="79"/>
        <item x="12"/>
        <item x="18"/>
        <item x="188"/>
        <item x="105"/>
        <item x="20"/>
        <item x="53"/>
        <item x="132"/>
        <item x="24"/>
        <item x="173"/>
        <item x="90"/>
        <item x="129"/>
        <item x="77"/>
        <item x="158"/>
        <item x="176"/>
        <item x="82"/>
        <item x="55"/>
        <item x="164"/>
        <item x="177"/>
        <item x="13"/>
        <item x="155"/>
        <item x="126"/>
        <item x="123"/>
        <item x="81"/>
        <item x="10"/>
        <item x="199"/>
        <item x="33"/>
        <item x="174"/>
        <item x="1"/>
        <item x="151"/>
        <item x="142"/>
        <item x="21"/>
        <item x="160"/>
        <item x="83"/>
        <item x="40"/>
        <item x="45"/>
        <item x="30"/>
        <item x="134"/>
        <item x="102"/>
        <item x="57"/>
        <item x="104"/>
        <item x="110"/>
        <item x="179"/>
        <item x="136"/>
        <item x="9"/>
        <item x="187"/>
        <item x="100"/>
        <item x="75"/>
        <item x="47"/>
        <item x="54"/>
        <item x="111"/>
        <item x="106"/>
        <item x="109"/>
        <item x="36"/>
        <item x="42"/>
        <item x="86"/>
        <item x="107"/>
        <item x="197"/>
        <item x="149"/>
        <item x="27"/>
        <item x="147"/>
        <item x="99"/>
        <item x="78"/>
        <item x="56"/>
        <item x="181"/>
        <item x="23"/>
        <item x="66"/>
        <item x="32"/>
        <item x="118"/>
        <item x="60"/>
        <item x="146"/>
        <item x="71"/>
        <item x="69"/>
        <item x="116"/>
        <item x="84"/>
        <item x="28"/>
        <item t="default"/>
      </items>
    </pivotField>
    <pivotField axis="axisRow" showAll="0">
      <items count="5">
        <item x="3"/>
        <item x="1"/>
        <item x="0"/>
        <item x="2"/>
        <item t="default"/>
      </items>
    </pivotField>
    <pivotField showAll="0"/>
    <pivotField numFmtId="14" showAll="0"/>
    <pivotField numFmtId="14" showAll="0"/>
    <pivotField showAll="0">
      <items count="3">
        <item x="0"/>
        <item x="1"/>
        <item t="default"/>
      </items>
    </pivotField>
    <pivotField showAll="0"/>
    <pivotField showAll="0"/>
    <pivotField dataField="1" showAll="0"/>
  </pivotFields>
  <rowFields count="1">
    <field x="1"/>
  </rowFields>
  <rowItems count="5">
    <i>
      <x/>
    </i>
    <i>
      <x v="1"/>
    </i>
    <i>
      <x v="2"/>
    </i>
    <i>
      <x v="3"/>
    </i>
    <i t="grand">
      <x/>
    </i>
  </rowItems>
  <colItems count="1">
    <i/>
  </colItems>
  <dataFields count="1">
    <dataField name="Sum of Revenue"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668879-0634-474B-8579-47AC33B40898}" name="PivotTable10"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6" firstHeaderRow="1" firstDataRow="1" firstDataCol="1"/>
  <pivotFields count="9">
    <pivotField dataField="1" showAll="0">
      <items count="201">
        <item x="96"/>
        <item x="6"/>
        <item x="198"/>
        <item x="89"/>
        <item x="175"/>
        <item x="180"/>
        <item x="195"/>
        <item x="0"/>
        <item x="167"/>
        <item x="166"/>
        <item x="65"/>
        <item x="144"/>
        <item x="74"/>
        <item x="139"/>
        <item x="76"/>
        <item x="182"/>
        <item x="193"/>
        <item x="44"/>
        <item x="2"/>
        <item x="95"/>
        <item x="43"/>
        <item x="29"/>
        <item x="122"/>
        <item x="183"/>
        <item x="117"/>
        <item x="154"/>
        <item x="58"/>
        <item x="15"/>
        <item x="91"/>
        <item x="39"/>
        <item x="72"/>
        <item x="128"/>
        <item x="101"/>
        <item x="19"/>
        <item x="67"/>
        <item x="37"/>
        <item x="140"/>
        <item x="93"/>
        <item x="103"/>
        <item x="87"/>
        <item x="143"/>
        <item x="5"/>
        <item x="62"/>
        <item x="137"/>
        <item x="4"/>
        <item x="113"/>
        <item x="52"/>
        <item x="85"/>
        <item x="133"/>
        <item x="169"/>
        <item x="196"/>
        <item x="3"/>
        <item x="51"/>
        <item x="171"/>
        <item x="138"/>
        <item x="141"/>
        <item x="150"/>
        <item x="97"/>
        <item x="192"/>
        <item x="34"/>
        <item x="190"/>
        <item x="92"/>
        <item x="152"/>
        <item x="17"/>
        <item x="153"/>
        <item x="115"/>
        <item x="63"/>
        <item x="185"/>
        <item x="131"/>
        <item x="14"/>
        <item x="38"/>
        <item x="130"/>
        <item x="49"/>
        <item x="125"/>
        <item x="22"/>
        <item x="108"/>
        <item x="41"/>
        <item x="8"/>
        <item x="114"/>
        <item x="61"/>
        <item x="7"/>
        <item x="124"/>
        <item x="16"/>
        <item x="68"/>
        <item x="31"/>
        <item x="11"/>
        <item x="159"/>
        <item x="170"/>
        <item x="127"/>
        <item x="157"/>
        <item x="119"/>
        <item x="35"/>
        <item x="163"/>
        <item x="161"/>
        <item x="64"/>
        <item x="189"/>
        <item x="50"/>
        <item x="98"/>
        <item x="168"/>
        <item x="165"/>
        <item x="194"/>
        <item x="59"/>
        <item x="46"/>
        <item x="94"/>
        <item x="186"/>
        <item x="70"/>
        <item x="135"/>
        <item x="48"/>
        <item x="172"/>
        <item x="156"/>
        <item x="145"/>
        <item x="25"/>
        <item x="112"/>
        <item x="26"/>
        <item x="191"/>
        <item x="148"/>
        <item x="80"/>
        <item x="121"/>
        <item x="120"/>
        <item x="73"/>
        <item x="178"/>
        <item x="184"/>
        <item x="162"/>
        <item x="88"/>
        <item x="79"/>
        <item x="12"/>
        <item x="18"/>
        <item x="188"/>
        <item x="105"/>
        <item x="20"/>
        <item x="53"/>
        <item x="132"/>
        <item x="24"/>
        <item x="173"/>
        <item x="90"/>
        <item x="129"/>
        <item x="77"/>
        <item x="158"/>
        <item x="176"/>
        <item x="82"/>
        <item x="55"/>
        <item x="164"/>
        <item x="177"/>
        <item x="13"/>
        <item x="155"/>
        <item x="126"/>
        <item x="123"/>
        <item x="81"/>
        <item x="10"/>
        <item x="199"/>
        <item x="33"/>
        <item x="174"/>
        <item x="1"/>
        <item x="151"/>
        <item x="142"/>
        <item x="21"/>
        <item x="160"/>
        <item x="83"/>
        <item x="40"/>
        <item x="45"/>
        <item x="30"/>
        <item x="134"/>
        <item x="102"/>
        <item x="57"/>
        <item x="104"/>
        <item x="110"/>
        <item x="179"/>
        <item x="136"/>
        <item x="9"/>
        <item x="187"/>
        <item x="100"/>
        <item x="75"/>
        <item x="47"/>
        <item x="54"/>
        <item x="111"/>
        <item x="106"/>
        <item x="109"/>
        <item x="36"/>
        <item x="42"/>
        <item x="86"/>
        <item x="107"/>
        <item x="197"/>
        <item x="149"/>
        <item x="27"/>
        <item x="147"/>
        <item x="99"/>
        <item x="78"/>
        <item x="56"/>
        <item x="181"/>
        <item x="23"/>
        <item x="66"/>
        <item x="32"/>
        <item x="118"/>
        <item x="60"/>
        <item x="146"/>
        <item x="71"/>
        <item x="69"/>
        <item x="116"/>
        <item x="84"/>
        <item x="28"/>
        <item t="default"/>
      </items>
    </pivotField>
    <pivotField axis="axisRow" showAll="0">
      <items count="5">
        <item x="3"/>
        <item x="1"/>
        <item x="0"/>
        <item x="2"/>
        <item t="default"/>
      </items>
    </pivotField>
    <pivotField showAll="0"/>
    <pivotField numFmtId="14" showAll="0"/>
    <pivotField numFmtId="14" showAll="0"/>
    <pivotField showAll="0">
      <items count="3">
        <item x="0"/>
        <item x="1"/>
        <item t="default"/>
      </items>
    </pivotField>
    <pivotField showAll="0"/>
    <pivotField showAll="0"/>
    <pivotField showAll="0"/>
  </pivotFields>
  <rowFields count="1">
    <field x="1"/>
  </rowFields>
  <rowItems count="5">
    <i>
      <x/>
    </i>
    <i>
      <x v="1"/>
    </i>
    <i>
      <x v="2"/>
    </i>
    <i>
      <x v="3"/>
    </i>
    <i t="grand">
      <x/>
    </i>
  </rowItems>
  <colItems count="1">
    <i/>
  </colItems>
  <dataFields count="1">
    <dataField name="Count of Employee Name" fld="0" subtotal="count" baseField="1"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58ECEF7-6D0F-4A58-9202-4177F68F15DE}" sourceName="Department">
  <pivotTables>
    <pivotTable tabId="7" name="PivotTable11"/>
    <pivotTable tabId="7" name="PivotTable10"/>
    <pivotTable tabId="7" name="PivotTable12"/>
  </pivotTables>
  <data>
    <tabular pivotCacheId="49487454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9782EB4-0D6F-459E-8D49-6D047AEF417E}" sourceName="Status">
  <pivotTables>
    <pivotTable tabId="7" name="PivotTable11"/>
    <pivotTable tabId="7" name="PivotTable10"/>
    <pivotTable tabId="7" name="PivotTable12"/>
  </pivotTables>
  <data>
    <tabular pivotCacheId="49487454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366FF8E5-7954-480F-A511-F3874851D72A}" sourceName="Employee Name">
  <pivotTables>
    <pivotTable tabId="7" name="PivotTable12"/>
    <pivotTable tabId="7" name="PivotTable10"/>
    <pivotTable tabId="7" name="PivotTable11"/>
  </pivotTables>
  <data>
    <tabular pivotCacheId="494874547">
      <items count="200">
        <i x="96" s="1"/>
        <i x="6" s="1"/>
        <i x="198" s="1"/>
        <i x="89" s="1"/>
        <i x="175" s="1"/>
        <i x="180" s="1"/>
        <i x="195" s="1"/>
        <i x="0" s="1"/>
        <i x="167" s="1"/>
        <i x="166" s="1"/>
        <i x="65" s="1"/>
        <i x="144" s="1"/>
        <i x="74" s="1"/>
        <i x="139" s="1"/>
        <i x="76" s="1"/>
        <i x="182" s="1"/>
        <i x="193" s="1"/>
        <i x="44" s="1"/>
        <i x="2" s="1"/>
        <i x="95" s="1"/>
        <i x="43" s="1"/>
        <i x="29" s="1"/>
        <i x="122" s="1"/>
        <i x="183" s="1"/>
        <i x="117" s="1"/>
        <i x="154" s="1"/>
        <i x="58" s="1"/>
        <i x="15" s="1"/>
        <i x="91" s="1"/>
        <i x="39" s="1"/>
        <i x="72" s="1"/>
        <i x="128" s="1"/>
        <i x="101" s="1"/>
        <i x="19" s="1"/>
        <i x="67" s="1"/>
        <i x="37" s="1"/>
        <i x="140" s="1"/>
        <i x="93" s="1"/>
        <i x="103" s="1"/>
        <i x="87" s="1"/>
        <i x="143" s="1"/>
        <i x="5" s="1"/>
        <i x="62" s="1"/>
        <i x="137" s="1"/>
        <i x="4" s="1"/>
        <i x="113" s="1"/>
        <i x="52" s="1"/>
        <i x="85" s="1"/>
        <i x="133" s="1"/>
        <i x="169" s="1"/>
        <i x="196" s="1"/>
        <i x="3" s="1"/>
        <i x="51" s="1"/>
        <i x="171" s="1"/>
        <i x="138" s="1"/>
        <i x="141" s="1"/>
        <i x="150" s="1"/>
        <i x="97" s="1"/>
        <i x="192" s="1"/>
        <i x="34" s="1"/>
        <i x="190" s="1"/>
        <i x="92" s="1"/>
        <i x="152" s="1"/>
        <i x="17" s="1"/>
        <i x="153" s="1"/>
        <i x="115" s="1"/>
        <i x="63" s="1"/>
        <i x="185" s="1"/>
        <i x="131" s="1"/>
        <i x="14" s="1"/>
        <i x="38" s="1"/>
        <i x="130" s="1"/>
        <i x="49" s="1"/>
        <i x="125" s="1"/>
        <i x="22" s="1"/>
        <i x="108" s="1"/>
        <i x="41" s="1"/>
        <i x="8" s="1"/>
        <i x="114" s="1"/>
        <i x="61" s="1"/>
        <i x="7" s="1"/>
        <i x="124" s="1"/>
        <i x="16" s="1"/>
        <i x="68" s="1"/>
        <i x="31" s="1"/>
        <i x="11" s="1"/>
        <i x="159" s="1"/>
        <i x="170" s="1"/>
        <i x="127" s="1"/>
        <i x="157" s="1"/>
        <i x="119" s="1"/>
        <i x="35" s="1"/>
        <i x="163" s="1"/>
        <i x="161" s="1"/>
        <i x="64" s="1"/>
        <i x="189" s="1"/>
        <i x="50" s="1"/>
        <i x="98" s="1"/>
        <i x="168" s="1"/>
        <i x="165" s="1"/>
        <i x="194" s="1"/>
        <i x="59" s="1"/>
        <i x="46" s="1"/>
        <i x="94" s="1"/>
        <i x="186" s="1"/>
        <i x="70" s="1"/>
        <i x="135" s="1"/>
        <i x="48" s="1"/>
        <i x="172" s="1"/>
        <i x="156" s="1"/>
        <i x="145" s="1"/>
        <i x="25" s="1"/>
        <i x="112" s="1"/>
        <i x="26" s="1"/>
        <i x="191" s="1"/>
        <i x="148" s="1"/>
        <i x="80" s="1"/>
        <i x="121" s="1"/>
        <i x="120" s="1"/>
        <i x="73" s="1"/>
        <i x="178" s="1"/>
        <i x="184" s="1"/>
        <i x="162" s="1"/>
        <i x="88" s="1"/>
        <i x="79" s="1"/>
        <i x="12" s="1"/>
        <i x="18" s="1"/>
        <i x="188" s="1"/>
        <i x="105" s="1"/>
        <i x="20" s="1"/>
        <i x="53" s="1"/>
        <i x="132" s="1"/>
        <i x="24" s="1"/>
        <i x="173" s="1"/>
        <i x="90" s="1"/>
        <i x="129" s="1"/>
        <i x="77" s="1"/>
        <i x="158" s="1"/>
        <i x="176" s="1"/>
        <i x="82" s="1"/>
        <i x="55" s="1"/>
        <i x="164" s="1"/>
        <i x="177" s="1"/>
        <i x="13" s="1"/>
        <i x="155" s="1"/>
        <i x="126" s="1"/>
        <i x="123" s="1"/>
        <i x="81" s="1"/>
        <i x="10" s="1"/>
        <i x="199" s="1"/>
        <i x="33" s="1"/>
        <i x="174" s="1"/>
        <i x="1" s="1"/>
        <i x="151" s="1"/>
        <i x="142" s="1"/>
        <i x="21" s="1"/>
        <i x="160" s="1"/>
        <i x="83" s="1"/>
        <i x="40" s="1"/>
        <i x="45" s="1"/>
        <i x="30" s="1"/>
        <i x="134" s="1"/>
        <i x="102" s="1"/>
        <i x="57" s="1"/>
        <i x="104" s="1"/>
        <i x="110" s="1"/>
        <i x="179" s="1"/>
        <i x="136" s="1"/>
        <i x="9" s="1"/>
        <i x="187" s="1"/>
        <i x="100" s="1"/>
        <i x="75" s="1"/>
        <i x="47" s="1"/>
        <i x="54" s="1"/>
        <i x="111" s="1"/>
        <i x="106" s="1"/>
        <i x="109" s="1"/>
        <i x="36" s="1"/>
        <i x="42" s="1"/>
        <i x="86" s="1"/>
        <i x="107" s="1"/>
        <i x="197" s="1"/>
        <i x="149" s="1"/>
        <i x="27" s="1"/>
        <i x="147" s="1"/>
        <i x="99" s="1"/>
        <i x="78" s="1"/>
        <i x="56" s="1"/>
        <i x="181" s="1"/>
        <i x="23" s="1"/>
        <i x="66" s="1"/>
        <i x="32" s="1"/>
        <i x="118" s="1"/>
        <i x="60" s="1"/>
        <i x="146" s="1"/>
        <i x="71" s="1"/>
        <i x="69" s="1"/>
        <i x="116" s="1"/>
        <i x="84" s="1"/>
        <i x="2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5ECAA34D-256C-4056-83C4-1B9194F3DAA8}" sourceName="Revenue">
  <pivotTables>
    <pivotTable tabId="7" name="PivotTable12"/>
  </pivotTables>
  <data>
    <tabular pivotCacheId="494874547">
      <items count="193">
        <i x="8" s="1"/>
        <i x="2" s="1"/>
        <i x="92" s="1"/>
        <i x="52" s="1"/>
        <i x="167" s="1"/>
        <i x="147" s="1"/>
        <i x="121" s="1"/>
        <i x="14" s="1"/>
        <i x="26" s="1"/>
        <i x="183" s="1"/>
        <i x="48" s="1"/>
        <i x="155" s="1"/>
        <i x="86" s="1"/>
        <i x="149" s="1"/>
        <i x="139" s="1"/>
        <i x="35" s="1"/>
        <i x="30" s="1"/>
        <i x="55" s="1"/>
        <i x="130" s="1"/>
        <i x="12" s="1"/>
        <i x="123" s="1"/>
        <i x="3" s="1"/>
        <i x="43" s="1"/>
        <i x="78" s="1"/>
        <i x="81" s="1"/>
        <i x="47" s="1"/>
        <i x="173" s="1"/>
        <i x="37" s="1"/>
        <i x="0" s="1"/>
        <i x="164" s="1"/>
        <i x="97" s="1"/>
        <i x="85" s="1"/>
        <i x="32" s="1"/>
        <i x="187" s="1"/>
        <i x="112" s="1"/>
        <i x="79" s="1"/>
        <i x="63" s="1"/>
        <i x="132" s="1"/>
        <i x="74" s="1"/>
        <i x="186" s="1"/>
        <i x="45" s="1"/>
        <i x="129" s="1"/>
        <i x="21" s="1"/>
        <i x="33" s="1"/>
        <i x="148" s="1"/>
        <i x="102" s="1"/>
        <i x="175" s="1"/>
        <i x="61" s="1"/>
        <i x="80" s="1"/>
        <i x="57" s="1"/>
        <i x="128" s="1"/>
        <i x="141" s="1"/>
        <i x="117" s="1"/>
        <i x="22" s="1"/>
        <i x="64" s="1"/>
        <i x="4" s="1"/>
        <i x="29" s="1"/>
        <i x="158" s="1"/>
        <i x="170" s="1"/>
        <i x="108" s="1"/>
        <i x="125" s="1"/>
        <i x="50" s="1"/>
        <i x="72" s="1"/>
        <i x="111" s="1"/>
        <i x="138" s="1"/>
        <i x="41" s="1"/>
        <i x="84" s="1"/>
        <i x="188" s="1"/>
        <i x="53" s="1"/>
        <i x="133" s="1"/>
        <i x="101" s="1"/>
        <i x="177" s="1"/>
        <i x="113" s="1"/>
        <i x="60" s="1"/>
        <i x="159" s="1"/>
        <i x="172" s="1"/>
        <i x="28" s="1"/>
        <i x="44" s="1"/>
        <i x="156" s="1"/>
        <i x="88" s="1"/>
        <i x="165" s="1"/>
        <i x="189" s="1"/>
        <i x="106" s="1"/>
        <i x="18" s="1"/>
        <i x="127" s="1"/>
        <i x="150" s="1"/>
        <i x="49" s="1"/>
        <i x="71" s="1"/>
        <i x="163" s="1"/>
        <i x="184" s="1"/>
        <i x="105" s="1"/>
        <i x="115" s="1"/>
        <i x="160" s="1"/>
        <i x="58" s="1"/>
        <i x="142" s="1"/>
        <i x="157" s="1"/>
        <i x="46" s="1"/>
        <i x="93" s="1"/>
        <i x="118" s="1"/>
        <i x="7" s="1"/>
        <i x="119" s="1"/>
        <i x="104" s="1"/>
        <i x="70" s="1"/>
        <i x="95" s="1"/>
        <i x="146" s="1"/>
        <i x="1" s="1"/>
        <i x="5" s="1"/>
        <i x="68" s="1"/>
        <i x="166" s="1"/>
        <i x="109" s="1"/>
        <i x="66" s="1"/>
        <i x="67" s="1"/>
        <i x="169" s="1"/>
        <i x="24" s="1"/>
        <i x="13" s="1"/>
        <i x="120" s="1"/>
        <i x="77" s="1"/>
        <i x="153" s="1"/>
        <i x="91" s="1"/>
        <i x="65" s="1"/>
        <i x="38" s="1"/>
        <i x="137" s="1"/>
        <i x="185" s="1"/>
        <i x="89" s="1"/>
        <i x="40" s="1"/>
        <i x="6" s="1"/>
        <i x="154" s="1"/>
        <i x="82" s="1"/>
        <i x="161" s="1"/>
        <i x="162" s="1"/>
        <i x="23" s="1"/>
        <i x="51" s="1"/>
        <i x="180" s="1"/>
        <i x="134" s="1"/>
        <i x="191" s="1"/>
        <i x="75" s="1"/>
        <i x="99" s="1"/>
        <i x="131" s="1"/>
        <i x="107" s="1"/>
        <i x="54" s="1"/>
        <i x="15" s="1"/>
        <i x="110" s="1"/>
        <i x="122" s="1"/>
        <i x="69" s="1"/>
        <i x="39" s="1"/>
        <i x="182" s="1"/>
        <i x="144" s="1"/>
        <i x="62" s="1"/>
        <i x="103" s="1"/>
        <i x="25" s="1"/>
        <i x="34" s="1"/>
        <i x="42" s="1"/>
        <i x="124" s="1"/>
        <i x="17" s="1"/>
        <i x="143" s="1"/>
        <i x="90" s="1"/>
        <i x="126" s="1"/>
        <i x="76" s="1"/>
        <i x="31" s="1"/>
        <i x="114" s="1"/>
        <i x="151" s="1"/>
        <i x="83" s="1"/>
        <i x="135" s="1"/>
        <i x="145" s="1"/>
        <i x="59" s="1"/>
        <i x="116" s="1"/>
        <i x="179" s="1"/>
        <i x="168" s="1"/>
        <i x="176" s="1"/>
        <i x="20" s="1"/>
        <i x="136" s="1"/>
        <i x="96" s="1"/>
        <i x="181" s="1"/>
        <i x="9" s="1"/>
        <i x="11" s="1"/>
        <i x="171" s="1"/>
        <i x="87" s="1"/>
        <i x="140" s="1"/>
        <i x="16" s="1"/>
        <i x="190" s="1"/>
        <i x="10" s="1"/>
        <i x="152" s="1"/>
        <i x="192" s="1"/>
        <i x="178" s="1"/>
        <i x="36" s="1"/>
        <i x="94" s="1"/>
        <i x="27" s="1"/>
        <i x="174" s="1"/>
        <i x="73" s="1"/>
        <i x="19" s="1"/>
        <i x="56" s="1"/>
        <i x="100" s="1"/>
        <i x="9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03D75A3-C78E-4338-B316-B4B882B03D59}" cache="Slicer_Department" caption="Department" rowHeight="241300"/>
  <slicer name="Status 1" xr10:uid="{42213044-FF4C-4B8C-A9C3-563D05F36054}" cache="Slicer_Status" caption="Status" rowHeight="241300"/>
  <slicer name="Employee Name 1" xr10:uid="{59B8F0CB-66F9-4871-93CE-1694098694AB}" cache="Slicer_Employee_Name" caption="Employee Name" rowHeight="241300"/>
  <slicer name="Revenue 1" xr10:uid="{FC385075-C39F-4D51-9160-F0F0E3577DEF}" cache="Slicer_Revenue" caption="Revenue" startItem="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5BC5DFD-EB60-40BE-BC6A-86AAC08F9DC4}" name="Emp_Sales_Raw_Data" displayName="Emp_Sales_Raw_Data" ref="A1:I201" totalsRowShown="0">
  <autoFilter ref="A1:I201" xr:uid="{95BC5DFD-EB60-40BE-BC6A-86AAC08F9DC4}"/>
  <tableColumns count="9">
    <tableColumn id="1" xr3:uid="{EA26C496-6E6C-4397-A482-B5641C3773B4}" name="Employee Name"/>
    <tableColumn id="2" xr3:uid="{FBF318F3-0F40-4295-AC43-783A4D7964C8}" name="Department"/>
    <tableColumn id="3" xr3:uid="{F0FCB90B-69A3-497D-A87D-60DB5BA9EB93}" name="Monthly Sales"/>
    <tableColumn id="4" xr3:uid="{824CF69F-CEA1-4EC8-9718-3F3E29A6FB55}" name="Order Date" dataDxfId="1"/>
    <tableColumn id="5" xr3:uid="{1655B641-75D4-4266-8DEE-F5492498922E}" name="Delivery Date" dataDxfId="0"/>
    <tableColumn id="6" xr3:uid="{2A7075C0-C72D-481F-9EAC-3DCFB9F13CF6}" name="Status"/>
    <tableColumn id="7" xr3:uid="{1D7FD227-11BD-4333-A2E4-964C25B89B30}" name="Quantity Sold"/>
    <tableColumn id="8" xr3:uid="{2E644B17-2411-4E97-8654-66F31856A86A}" name="Unit Price"/>
    <tableColumn id="9" xr3:uid="{0AC7801A-4E22-47E7-A3D5-FC8F7B6BFCDC}" name="Revenue"/>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workbookViewId="0">
      <pane ySplit="1" topLeftCell="A2" activePane="bottomLeft" state="frozen"/>
      <selection pane="bottomLeft" activeCell="K187" sqref="K187"/>
    </sheetView>
  </sheetViews>
  <sheetFormatPr defaultColWidth="9.81640625" defaultRowHeight="14.5"/>
  <cols>
    <col min="1" max="1" width="20.08984375" bestFit="1" customWidth="1"/>
    <col min="2" max="2" width="13.36328125" bestFit="1" customWidth="1"/>
    <col min="3" max="3" width="14.81640625" bestFit="1" customWidth="1"/>
    <col min="4" max="4" width="12.453125" bestFit="1" customWidth="1"/>
    <col min="5" max="5" width="14.26953125" bestFit="1" customWidth="1"/>
    <col min="6" max="6" width="9.90625" bestFit="1" customWidth="1"/>
    <col min="7" max="7" width="14.453125" bestFit="1" customWidth="1"/>
    <col min="8" max="8" width="11.1796875" bestFit="1" customWidth="1"/>
    <col min="9" max="9" width="10.26953125" bestFit="1" customWidth="1"/>
  </cols>
  <sheetData>
    <row r="1" spans="1:16">
      <c r="A1" t="s">
        <v>0</v>
      </c>
      <c r="B1" t="s">
        <v>1</v>
      </c>
      <c r="C1" t="s">
        <v>2</v>
      </c>
      <c r="D1" t="s">
        <v>3</v>
      </c>
      <c r="E1" t="s">
        <v>4</v>
      </c>
      <c r="F1" t="s">
        <v>5</v>
      </c>
      <c r="G1" t="s">
        <v>6</v>
      </c>
      <c r="H1" t="s">
        <v>7</v>
      </c>
      <c r="I1" t="s">
        <v>8</v>
      </c>
    </row>
    <row r="2" spans="1:16">
      <c r="A2" t="s">
        <v>9</v>
      </c>
      <c r="B2" t="s">
        <v>10</v>
      </c>
      <c r="C2">
        <v>17934</v>
      </c>
      <c r="D2" s="1">
        <v>45619</v>
      </c>
      <c r="E2" s="1">
        <v>45623</v>
      </c>
      <c r="F2" t="s">
        <v>11</v>
      </c>
      <c r="G2">
        <v>33</v>
      </c>
      <c r="H2">
        <v>30</v>
      </c>
      <c r="I2">
        <v>990</v>
      </c>
      <c r="P2" s="1"/>
    </row>
    <row r="3" spans="1:16">
      <c r="A3" t="s">
        <v>12</v>
      </c>
      <c r="B3" t="s">
        <v>13</v>
      </c>
      <c r="C3">
        <v>19247</v>
      </c>
      <c r="D3" s="1">
        <v>45618</v>
      </c>
      <c r="E3" s="1">
        <v>45620</v>
      </c>
      <c r="F3" t="s">
        <v>14</v>
      </c>
      <c r="G3">
        <v>64</v>
      </c>
      <c r="H3">
        <v>42</v>
      </c>
      <c r="I3">
        <v>2688</v>
      </c>
    </row>
    <row r="4" spans="1:16">
      <c r="A4" t="s">
        <v>15</v>
      </c>
      <c r="B4" t="s">
        <v>16</v>
      </c>
      <c r="C4">
        <v>10755</v>
      </c>
      <c r="D4" s="1">
        <v>45615</v>
      </c>
      <c r="E4" s="1">
        <v>45616</v>
      </c>
      <c r="F4" t="s">
        <v>11</v>
      </c>
      <c r="G4">
        <v>18</v>
      </c>
      <c r="H4">
        <v>20</v>
      </c>
      <c r="I4">
        <v>360</v>
      </c>
    </row>
    <row r="5" spans="1:16">
      <c r="A5" t="s">
        <v>17</v>
      </c>
      <c r="B5" t="s">
        <v>10</v>
      </c>
      <c r="C5">
        <v>14383</v>
      </c>
      <c r="D5" s="1">
        <v>45621</v>
      </c>
      <c r="E5" s="1">
        <v>45628</v>
      </c>
      <c r="F5" t="s">
        <v>14</v>
      </c>
      <c r="G5">
        <v>12</v>
      </c>
      <c r="H5">
        <v>65</v>
      </c>
      <c r="I5">
        <v>780</v>
      </c>
    </row>
    <row r="6" spans="1:16">
      <c r="A6" t="s">
        <v>18</v>
      </c>
      <c r="B6" t="s">
        <v>10</v>
      </c>
      <c r="C6">
        <v>16820</v>
      </c>
      <c r="D6" s="1">
        <v>45622</v>
      </c>
      <c r="E6" s="1">
        <v>45630</v>
      </c>
      <c r="F6" t="s">
        <v>11</v>
      </c>
      <c r="G6">
        <v>40</v>
      </c>
      <c r="H6">
        <v>40</v>
      </c>
      <c r="I6">
        <v>1600</v>
      </c>
    </row>
    <row r="7" spans="1:16">
      <c r="A7" t="s">
        <v>19</v>
      </c>
      <c r="B7" t="s">
        <v>13</v>
      </c>
      <c r="C7">
        <v>9574</v>
      </c>
      <c r="D7" s="1">
        <v>45626</v>
      </c>
      <c r="E7" s="1">
        <v>45633</v>
      </c>
      <c r="F7" t="s">
        <v>14</v>
      </c>
      <c r="G7">
        <v>49</v>
      </c>
      <c r="H7">
        <v>55</v>
      </c>
      <c r="I7">
        <v>2695</v>
      </c>
    </row>
    <row r="8" spans="1:16">
      <c r="A8" t="s">
        <v>20</v>
      </c>
      <c r="B8" t="s">
        <v>16</v>
      </c>
      <c r="C8">
        <v>8374</v>
      </c>
      <c r="D8" s="1">
        <v>45625</v>
      </c>
      <c r="E8" s="1">
        <v>45630</v>
      </c>
      <c r="F8" t="s">
        <v>14</v>
      </c>
      <c r="G8">
        <v>45</v>
      </c>
      <c r="H8">
        <v>73</v>
      </c>
      <c r="I8">
        <v>3285</v>
      </c>
    </row>
    <row r="9" spans="1:16">
      <c r="A9" t="s">
        <v>21</v>
      </c>
      <c r="B9" t="s">
        <v>16</v>
      </c>
      <c r="C9">
        <v>3678</v>
      </c>
      <c r="D9" s="1">
        <v>45618</v>
      </c>
      <c r="E9" s="1">
        <v>45619</v>
      </c>
      <c r="F9" t="s">
        <v>11</v>
      </c>
      <c r="G9">
        <v>33</v>
      </c>
      <c r="H9">
        <v>76</v>
      </c>
      <c r="I9">
        <v>2508</v>
      </c>
    </row>
    <row r="10" spans="1:16">
      <c r="A10" t="s">
        <v>22</v>
      </c>
      <c r="B10" t="s">
        <v>10</v>
      </c>
      <c r="C10">
        <v>3059</v>
      </c>
      <c r="D10" s="1">
        <v>45622</v>
      </c>
      <c r="E10" s="1">
        <v>45629</v>
      </c>
      <c r="F10" t="s">
        <v>14</v>
      </c>
      <c r="G10">
        <v>15</v>
      </c>
      <c r="H10">
        <v>20</v>
      </c>
      <c r="I10">
        <v>300</v>
      </c>
    </row>
    <row r="11" spans="1:16">
      <c r="A11" t="s">
        <v>23</v>
      </c>
      <c r="B11" t="s">
        <v>24</v>
      </c>
      <c r="C11">
        <v>18198</v>
      </c>
      <c r="D11" s="1">
        <v>45622</v>
      </c>
      <c r="E11" s="1">
        <v>45629</v>
      </c>
      <c r="F11" t="s">
        <v>11</v>
      </c>
      <c r="G11">
        <v>75</v>
      </c>
      <c r="H11">
        <v>82</v>
      </c>
      <c r="I11">
        <v>6150</v>
      </c>
    </row>
    <row r="12" spans="1:16">
      <c r="A12" t="s">
        <v>25</v>
      </c>
      <c r="B12" t="s">
        <v>10</v>
      </c>
      <c r="C12">
        <v>11914</v>
      </c>
      <c r="D12" s="1">
        <v>45618</v>
      </c>
      <c r="E12" s="1">
        <v>45627</v>
      </c>
      <c r="F12" t="s">
        <v>11</v>
      </c>
      <c r="G12">
        <v>93</v>
      </c>
      <c r="H12">
        <v>73</v>
      </c>
      <c r="I12">
        <v>6789</v>
      </c>
    </row>
    <row r="13" spans="1:16">
      <c r="A13" t="s">
        <v>26</v>
      </c>
      <c r="B13" t="s">
        <v>10</v>
      </c>
      <c r="C13">
        <v>12817</v>
      </c>
      <c r="D13" s="1">
        <v>45613</v>
      </c>
      <c r="E13" s="1">
        <v>45616</v>
      </c>
      <c r="F13" t="s">
        <v>11</v>
      </c>
      <c r="G13">
        <v>84</v>
      </c>
      <c r="H13">
        <v>74</v>
      </c>
      <c r="I13">
        <v>6216</v>
      </c>
    </row>
    <row r="14" spans="1:16">
      <c r="A14" t="s">
        <v>27</v>
      </c>
      <c r="B14" t="s">
        <v>10</v>
      </c>
      <c r="C14">
        <v>12921</v>
      </c>
      <c r="D14" s="1">
        <v>45616</v>
      </c>
      <c r="E14" s="1">
        <v>45625</v>
      </c>
      <c r="F14" t="s">
        <v>11</v>
      </c>
      <c r="G14">
        <v>13</v>
      </c>
      <c r="H14">
        <v>59</v>
      </c>
      <c r="I14">
        <v>767</v>
      </c>
    </row>
    <row r="15" spans="1:16">
      <c r="A15" t="s">
        <v>28</v>
      </c>
      <c r="B15" t="s">
        <v>10</v>
      </c>
      <c r="C15">
        <v>11789</v>
      </c>
      <c r="D15" s="1">
        <v>45606</v>
      </c>
      <c r="E15" s="1">
        <v>45607</v>
      </c>
      <c r="F15" t="s">
        <v>14</v>
      </c>
      <c r="G15">
        <v>88</v>
      </c>
      <c r="H15">
        <v>34</v>
      </c>
      <c r="I15">
        <v>2992</v>
      </c>
    </row>
    <row r="16" spans="1:16">
      <c r="A16" t="s">
        <v>29</v>
      </c>
      <c r="B16" t="s">
        <v>13</v>
      </c>
      <c r="C16">
        <v>18312</v>
      </c>
      <c r="D16" s="1">
        <v>45602</v>
      </c>
      <c r="E16" s="1">
        <v>45603</v>
      </c>
      <c r="F16" t="s">
        <v>14</v>
      </c>
      <c r="G16">
        <v>15</v>
      </c>
      <c r="H16">
        <v>40</v>
      </c>
      <c r="I16">
        <v>600</v>
      </c>
    </row>
    <row r="17" spans="1:9">
      <c r="A17" t="s">
        <v>30</v>
      </c>
      <c r="B17" t="s">
        <v>16</v>
      </c>
      <c r="C17">
        <v>13252</v>
      </c>
      <c r="D17" s="1">
        <v>45611</v>
      </c>
      <c r="E17" s="1">
        <v>45615</v>
      </c>
      <c r="F17" t="s">
        <v>14</v>
      </c>
      <c r="G17">
        <v>60</v>
      </c>
      <c r="H17">
        <v>66</v>
      </c>
      <c r="I17">
        <v>3960</v>
      </c>
    </row>
    <row r="18" spans="1:9">
      <c r="A18" t="s">
        <v>31</v>
      </c>
      <c r="B18" t="s">
        <v>13</v>
      </c>
      <c r="C18">
        <v>4693</v>
      </c>
      <c r="D18" s="1">
        <v>45618</v>
      </c>
      <c r="E18" s="1">
        <v>45627</v>
      </c>
      <c r="F18" t="s">
        <v>11</v>
      </c>
      <c r="G18">
        <v>71</v>
      </c>
      <c r="H18">
        <v>92</v>
      </c>
      <c r="I18">
        <v>6532</v>
      </c>
    </row>
    <row r="19" spans="1:9">
      <c r="A19" t="s">
        <v>32</v>
      </c>
      <c r="B19" t="s">
        <v>13</v>
      </c>
      <c r="C19">
        <v>15931</v>
      </c>
      <c r="D19" s="1">
        <v>45607</v>
      </c>
      <c r="E19" s="1">
        <v>45613</v>
      </c>
      <c r="F19" t="s">
        <v>14</v>
      </c>
      <c r="G19">
        <v>66</v>
      </c>
      <c r="H19">
        <v>72</v>
      </c>
      <c r="I19">
        <v>4752</v>
      </c>
    </row>
    <row r="20" spans="1:9">
      <c r="A20" t="s">
        <v>33</v>
      </c>
      <c r="B20" t="s">
        <v>13</v>
      </c>
      <c r="C20">
        <v>5627</v>
      </c>
      <c r="D20" s="1">
        <v>45624</v>
      </c>
      <c r="E20" s="1">
        <v>45627</v>
      </c>
      <c r="F20" t="s">
        <v>11</v>
      </c>
      <c r="G20">
        <v>75</v>
      </c>
      <c r="H20">
        <v>28</v>
      </c>
      <c r="I20">
        <v>2100</v>
      </c>
    </row>
    <row r="21" spans="1:9">
      <c r="A21" t="s">
        <v>34</v>
      </c>
      <c r="B21" t="s">
        <v>10</v>
      </c>
      <c r="C21">
        <v>18157</v>
      </c>
      <c r="D21" s="1">
        <v>45601</v>
      </c>
      <c r="E21" s="1">
        <v>45602</v>
      </c>
      <c r="F21" t="s">
        <v>14</v>
      </c>
      <c r="G21">
        <v>88</v>
      </c>
      <c r="H21">
        <v>93</v>
      </c>
      <c r="I21">
        <v>8184</v>
      </c>
    </row>
    <row r="22" spans="1:9">
      <c r="A22" t="s">
        <v>35</v>
      </c>
      <c r="B22" t="s">
        <v>24</v>
      </c>
      <c r="C22">
        <v>12173</v>
      </c>
      <c r="D22" s="1">
        <v>45597</v>
      </c>
      <c r="E22" s="1">
        <v>45601</v>
      </c>
      <c r="F22" t="s">
        <v>14</v>
      </c>
      <c r="G22">
        <v>84</v>
      </c>
      <c r="H22">
        <v>71</v>
      </c>
      <c r="I22">
        <v>5964</v>
      </c>
    </row>
    <row r="23" spans="1:9">
      <c r="A23" t="s">
        <v>36</v>
      </c>
      <c r="B23" t="s">
        <v>16</v>
      </c>
      <c r="C23">
        <v>12230</v>
      </c>
      <c r="D23" s="1">
        <v>45604</v>
      </c>
      <c r="E23" s="1">
        <v>45613</v>
      </c>
      <c r="F23" t="s">
        <v>14</v>
      </c>
      <c r="G23">
        <v>17</v>
      </c>
      <c r="H23">
        <v>76</v>
      </c>
      <c r="I23">
        <v>1292</v>
      </c>
    </row>
    <row r="24" spans="1:9">
      <c r="A24" t="s">
        <v>37</v>
      </c>
      <c r="B24" t="s">
        <v>24</v>
      </c>
      <c r="C24">
        <v>17707</v>
      </c>
      <c r="D24" s="1">
        <v>45617</v>
      </c>
      <c r="E24" s="1">
        <v>45620</v>
      </c>
      <c r="F24" t="s">
        <v>11</v>
      </c>
      <c r="G24">
        <v>35</v>
      </c>
      <c r="H24">
        <v>45</v>
      </c>
      <c r="I24">
        <v>1575</v>
      </c>
    </row>
    <row r="25" spans="1:9">
      <c r="A25" t="s">
        <v>38</v>
      </c>
      <c r="B25" t="s">
        <v>13</v>
      </c>
      <c r="C25">
        <v>13494</v>
      </c>
      <c r="D25" s="1">
        <v>45624</v>
      </c>
      <c r="E25" s="1">
        <v>45633</v>
      </c>
      <c r="F25" t="s">
        <v>14</v>
      </c>
      <c r="G25">
        <v>60</v>
      </c>
      <c r="H25">
        <v>60</v>
      </c>
      <c r="I25">
        <v>3600</v>
      </c>
    </row>
    <row r="26" spans="1:9">
      <c r="A26" t="s">
        <v>39</v>
      </c>
      <c r="B26" t="s">
        <v>13</v>
      </c>
      <c r="C26">
        <v>3306</v>
      </c>
      <c r="D26" s="1">
        <v>45608</v>
      </c>
      <c r="E26" s="1">
        <v>45615</v>
      </c>
      <c r="F26" t="s">
        <v>14</v>
      </c>
      <c r="G26">
        <v>54</v>
      </c>
      <c r="H26">
        <v>54</v>
      </c>
      <c r="I26">
        <v>2916</v>
      </c>
    </row>
    <row r="27" spans="1:9">
      <c r="A27" t="s">
        <v>40</v>
      </c>
      <c r="B27" t="s">
        <v>24</v>
      </c>
      <c r="C27">
        <v>8776</v>
      </c>
      <c r="D27" s="1">
        <v>45608</v>
      </c>
      <c r="E27" s="1">
        <v>45612</v>
      </c>
      <c r="F27" t="s">
        <v>11</v>
      </c>
      <c r="G27">
        <v>53</v>
      </c>
      <c r="H27">
        <v>82</v>
      </c>
      <c r="I27">
        <v>4346</v>
      </c>
    </row>
    <row r="28" spans="1:9">
      <c r="A28" t="s">
        <v>41</v>
      </c>
      <c r="B28" t="s">
        <v>24</v>
      </c>
      <c r="C28">
        <v>11474</v>
      </c>
      <c r="D28" s="1">
        <v>45601</v>
      </c>
      <c r="E28" s="1">
        <v>45604</v>
      </c>
      <c r="F28" t="s">
        <v>14</v>
      </c>
      <c r="G28">
        <v>14</v>
      </c>
      <c r="H28">
        <v>44</v>
      </c>
      <c r="I28">
        <v>616</v>
      </c>
    </row>
    <row r="29" spans="1:9">
      <c r="A29" t="s">
        <v>42</v>
      </c>
      <c r="B29" t="s">
        <v>24</v>
      </c>
      <c r="C29">
        <v>9526</v>
      </c>
      <c r="D29" s="1">
        <v>45603</v>
      </c>
      <c r="E29" s="1">
        <v>45608</v>
      </c>
      <c r="F29" t="s">
        <v>11</v>
      </c>
      <c r="G29">
        <v>79</v>
      </c>
      <c r="H29">
        <v>94</v>
      </c>
      <c r="I29">
        <v>7426</v>
      </c>
    </row>
    <row r="30" spans="1:9">
      <c r="A30" t="s">
        <v>43</v>
      </c>
      <c r="B30" t="s">
        <v>13</v>
      </c>
      <c r="C30">
        <v>7530</v>
      </c>
      <c r="D30" s="1">
        <v>45600</v>
      </c>
      <c r="E30" s="1">
        <v>45605</v>
      </c>
      <c r="F30" t="s">
        <v>14</v>
      </c>
      <c r="G30">
        <v>35</v>
      </c>
      <c r="H30">
        <v>57</v>
      </c>
      <c r="I30">
        <v>1995</v>
      </c>
    </row>
    <row r="31" spans="1:9">
      <c r="A31" t="s">
        <v>44</v>
      </c>
      <c r="B31" t="s">
        <v>13</v>
      </c>
      <c r="C31">
        <v>5748</v>
      </c>
      <c r="D31" s="1">
        <v>45602</v>
      </c>
      <c r="E31" s="1">
        <v>45605</v>
      </c>
      <c r="F31" t="s">
        <v>11</v>
      </c>
      <c r="G31">
        <v>77</v>
      </c>
      <c r="H31">
        <v>21</v>
      </c>
      <c r="I31">
        <v>1617</v>
      </c>
    </row>
    <row r="32" spans="1:9">
      <c r="A32" t="s">
        <v>45</v>
      </c>
      <c r="B32" t="s">
        <v>16</v>
      </c>
      <c r="C32">
        <v>15545</v>
      </c>
      <c r="D32" s="1">
        <v>45609</v>
      </c>
      <c r="E32" s="1">
        <v>45618</v>
      </c>
      <c r="F32" t="s">
        <v>11</v>
      </c>
      <c r="G32">
        <v>28</v>
      </c>
      <c r="H32">
        <v>26</v>
      </c>
      <c r="I32">
        <v>728</v>
      </c>
    </row>
    <row r="33" spans="1:9">
      <c r="A33" t="s">
        <v>46</v>
      </c>
      <c r="B33" t="s">
        <v>16</v>
      </c>
      <c r="C33">
        <v>2663</v>
      </c>
      <c r="D33" s="1">
        <v>45616</v>
      </c>
      <c r="E33" s="1">
        <v>45620</v>
      </c>
      <c r="F33" t="s">
        <v>14</v>
      </c>
      <c r="G33">
        <v>93</v>
      </c>
      <c r="H33">
        <v>53</v>
      </c>
      <c r="I33">
        <v>4929</v>
      </c>
    </row>
    <row r="34" spans="1:9">
      <c r="A34" t="s">
        <v>47</v>
      </c>
      <c r="B34" t="s">
        <v>13</v>
      </c>
      <c r="C34">
        <v>3998</v>
      </c>
      <c r="D34" s="1">
        <v>45626</v>
      </c>
      <c r="E34" s="1">
        <v>45631</v>
      </c>
      <c r="F34" t="s">
        <v>11</v>
      </c>
      <c r="G34">
        <v>29</v>
      </c>
      <c r="H34">
        <v>36</v>
      </c>
      <c r="I34">
        <v>1044</v>
      </c>
    </row>
    <row r="35" spans="1:9">
      <c r="A35" t="s">
        <v>48</v>
      </c>
      <c r="B35" t="s">
        <v>24</v>
      </c>
      <c r="C35">
        <v>9994</v>
      </c>
      <c r="D35" s="1">
        <v>45611</v>
      </c>
      <c r="E35" s="1">
        <v>45615</v>
      </c>
      <c r="F35" t="s">
        <v>11</v>
      </c>
      <c r="G35">
        <v>21</v>
      </c>
      <c r="H35">
        <v>62</v>
      </c>
      <c r="I35">
        <v>1302</v>
      </c>
    </row>
    <row r="36" spans="1:9">
      <c r="A36" t="s">
        <v>49</v>
      </c>
      <c r="B36" t="s">
        <v>24</v>
      </c>
      <c r="C36">
        <v>19879</v>
      </c>
      <c r="D36" s="1">
        <v>45599</v>
      </c>
      <c r="E36" s="1">
        <v>45604</v>
      </c>
      <c r="F36" t="s">
        <v>11</v>
      </c>
      <c r="G36">
        <v>56</v>
      </c>
      <c r="H36">
        <v>78</v>
      </c>
      <c r="I36">
        <v>4368</v>
      </c>
    </row>
    <row r="37" spans="1:9">
      <c r="A37" t="s">
        <v>50</v>
      </c>
      <c r="B37" t="s">
        <v>16</v>
      </c>
      <c r="C37">
        <v>5304</v>
      </c>
      <c r="D37" s="1">
        <v>45619</v>
      </c>
      <c r="E37" s="1">
        <v>45626</v>
      </c>
      <c r="F37" t="s">
        <v>11</v>
      </c>
      <c r="G37">
        <v>10</v>
      </c>
      <c r="H37">
        <v>70</v>
      </c>
      <c r="I37">
        <v>700</v>
      </c>
    </row>
    <row r="38" spans="1:9">
      <c r="A38" t="s">
        <v>51</v>
      </c>
      <c r="B38" t="s">
        <v>13</v>
      </c>
      <c r="C38">
        <v>15808</v>
      </c>
      <c r="D38" s="1">
        <v>45604</v>
      </c>
      <c r="E38" s="1">
        <v>45613</v>
      </c>
      <c r="F38" t="s">
        <v>11</v>
      </c>
      <c r="G38">
        <v>99</v>
      </c>
      <c r="H38">
        <v>73</v>
      </c>
      <c r="I38">
        <v>7227</v>
      </c>
    </row>
    <row r="39" spans="1:9">
      <c r="A39" t="s">
        <v>52</v>
      </c>
      <c r="B39" t="s">
        <v>16</v>
      </c>
      <c r="C39">
        <v>8585</v>
      </c>
      <c r="D39" s="1">
        <v>45616</v>
      </c>
      <c r="E39" s="1">
        <v>45623</v>
      </c>
      <c r="F39" t="s">
        <v>11</v>
      </c>
      <c r="G39">
        <v>23</v>
      </c>
      <c r="H39">
        <v>43</v>
      </c>
      <c r="I39">
        <v>989</v>
      </c>
    </row>
    <row r="40" spans="1:9">
      <c r="A40" t="s">
        <v>53</v>
      </c>
      <c r="B40" t="s">
        <v>16</v>
      </c>
      <c r="C40">
        <v>19675</v>
      </c>
      <c r="D40" s="1">
        <v>45612</v>
      </c>
      <c r="E40" s="1">
        <v>45617</v>
      </c>
      <c r="F40" t="s">
        <v>14</v>
      </c>
      <c r="G40">
        <v>73</v>
      </c>
      <c r="H40">
        <v>44</v>
      </c>
      <c r="I40">
        <v>3212</v>
      </c>
    </row>
    <row r="41" spans="1:9">
      <c r="A41" t="s">
        <v>54</v>
      </c>
      <c r="B41" t="s">
        <v>10</v>
      </c>
      <c r="C41">
        <v>13649</v>
      </c>
      <c r="D41" s="1">
        <v>45609</v>
      </c>
      <c r="E41" s="1">
        <v>45616</v>
      </c>
      <c r="F41" t="s">
        <v>11</v>
      </c>
      <c r="G41">
        <v>47</v>
      </c>
      <c r="H41">
        <v>90</v>
      </c>
      <c r="I41">
        <v>4230</v>
      </c>
    </row>
    <row r="42" spans="1:9">
      <c r="A42" t="s">
        <v>55</v>
      </c>
      <c r="B42" t="s">
        <v>10</v>
      </c>
      <c r="C42">
        <v>3636</v>
      </c>
      <c r="D42" s="1">
        <v>45614</v>
      </c>
      <c r="E42" s="1">
        <v>45619</v>
      </c>
      <c r="F42" t="s">
        <v>11</v>
      </c>
      <c r="G42">
        <v>46</v>
      </c>
      <c r="H42">
        <v>71</v>
      </c>
      <c r="I42">
        <v>3266</v>
      </c>
    </row>
    <row r="43" spans="1:9">
      <c r="A43" t="s">
        <v>56</v>
      </c>
      <c r="B43" t="s">
        <v>10</v>
      </c>
      <c r="C43">
        <v>19082</v>
      </c>
      <c r="D43" s="1">
        <v>45624</v>
      </c>
      <c r="E43" s="1">
        <v>45627</v>
      </c>
      <c r="F43" t="s">
        <v>14</v>
      </c>
      <c r="G43">
        <v>20</v>
      </c>
      <c r="H43">
        <v>89</v>
      </c>
      <c r="I43">
        <v>1780</v>
      </c>
    </row>
    <row r="44" spans="1:9">
      <c r="A44" t="s">
        <v>57</v>
      </c>
      <c r="B44" t="s">
        <v>24</v>
      </c>
      <c r="C44">
        <v>6737</v>
      </c>
      <c r="D44" s="1">
        <v>45606</v>
      </c>
      <c r="E44" s="1">
        <v>45613</v>
      </c>
      <c r="F44" t="s">
        <v>14</v>
      </c>
      <c r="G44">
        <v>86</v>
      </c>
      <c r="H44">
        <v>52</v>
      </c>
      <c r="I44">
        <v>4472</v>
      </c>
    </row>
    <row r="45" spans="1:9">
      <c r="A45" t="s">
        <v>58</v>
      </c>
      <c r="B45" t="s">
        <v>13</v>
      </c>
      <c r="C45">
        <v>16555</v>
      </c>
      <c r="D45" s="1">
        <v>45626</v>
      </c>
      <c r="E45" s="1">
        <v>45628</v>
      </c>
      <c r="F45" t="s">
        <v>14</v>
      </c>
      <c r="G45">
        <v>12</v>
      </c>
      <c r="H45">
        <v>68</v>
      </c>
      <c r="I45">
        <v>816</v>
      </c>
    </row>
    <row r="46" spans="1:9">
      <c r="A46" t="s">
        <v>59</v>
      </c>
      <c r="B46" t="s">
        <v>13</v>
      </c>
      <c r="C46">
        <v>15877</v>
      </c>
      <c r="D46" s="1">
        <v>45615</v>
      </c>
      <c r="E46" s="1">
        <v>45624</v>
      </c>
      <c r="F46" t="s">
        <v>14</v>
      </c>
      <c r="G46">
        <v>42</v>
      </c>
      <c r="H46">
        <v>48</v>
      </c>
      <c r="I46">
        <v>2016</v>
      </c>
    </row>
    <row r="47" spans="1:9">
      <c r="A47" t="s">
        <v>60</v>
      </c>
      <c r="B47" t="s">
        <v>13</v>
      </c>
      <c r="C47">
        <v>2854</v>
      </c>
      <c r="D47" s="1">
        <v>45613</v>
      </c>
      <c r="E47" s="1">
        <v>45614</v>
      </c>
      <c r="F47" t="s">
        <v>14</v>
      </c>
      <c r="G47">
        <v>15</v>
      </c>
      <c r="H47">
        <v>82</v>
      </c>
      <c r="I47">
        <v>1230</v>
      </c>
    </row>
    <row r="48" spans="1:9">
      <c r="A48" t="s">
        <v>61</v>
      </c>
      <c r="B48" t="s">
        <v>13</v>
      </c>
      <c r="C48">
        <v>7855</v>
      </c>
      <c r="D48" s="1">
        <v>45620</v>
      </c>
      <c r="E48" s="1">
        <v>45626</v>
      </c>
      <c r="F48" t="s">
        <v>14</v>
      </c>
      <c r="G48">
        <v>59</v>
      </c>
      <c r="H48">
        <v>41</v>
      </c>
      <c r="I48">
        <v>2419</v>
      </c>
    </row>
    <row r="49" spans="1:9">
      <c r="A49" t="s">
        <v>62</v>
      </c>
      <c r="B49" t="s">
        <v>10</v>
      </c>
      <c r="C49">
        <v>9392</v>
      </c>
      <c r="D49" s="1">
        <v>45615</v>
      </c>
      <c r="E49" s="1">
        <v>45622</v>
      </c>
      <c r="F49" t="s">
        <v>14</v>
      </c>
      <c r="G49">
        <v>19</v>
      </c>
      <c r="H49">
        <v>45</v>
      </c>
      <c r="I49">
        <v>855</v>
      </c>
    </row>
    <row r="50" spans="1:9">
      <c r="A50" t="s">
        <v>63</v>
      </c>
      <c r="B50" t="s">
        <v>24</v>
      </c>
      <c r="C50">
        <v>15949</v>
      </c>
      <c r="D50" s="1">
        <v>45624</v>
      </c>
      <c r="E50" s="1">
        <v>45632</v>
      </c>
      <c r="F50" t="s">
        <v>11</v>
      </c>
      <c r="G50">
        <v>14</v>
      </c>
      <c r="H50">
        <v>47</v>
      </c>
      <c r="I50">
        <v>658</v>
      </c>
    </row>
    <row r="51" spans="1:9">
      <c r="A51" t="s">
        <v>64</v>
      </c>
      <c r="B51" t="s">
        <v>24</v>
      </c>
      <c r="C51">
        <v>7791</v>
      </c>
      <c r="D51" s="1">
        <v>45622</v>
      </c>
      <c r="E51" s="1">
        <v>45631</v>
      </c>
      <c r="F51" t="s">
        <v>11</v>
      </c>
      <c r="G51">
        <v>32</v>
      </c>
      <c r="H51">
        <v>68</v>
      </c>
      <c r="I51">
        <v>2176</v>
      </c>
    </row>
    <row r="52" spans="1:9">
      <c r="A52" t="s">
        <v>65</v>
      </c>
      <c r="B52" t="s">
        <v>10</v>
      </c>
      <c r="C52">
        <v>6931</v>
      </c>
      <c r="D52" s="1">
        <v>45619</v>
      </c>
      <c r="E52" s="1">
        <v>45621</v>
      </c>
      <c r="F52" t="s">
        <v>14</v>
      </c>
      <c r="G52">
        <v>19</v>
      </c>
      <c r="H52">
        <v>90</v>
      </c>
      <c r="I52">
        <v>1710</v>
      </c>
    </row>
    <row r="53" spans="1:9">
      <c r="A53" t="s">
        <v>66</v>
      </c>
      <c r="B53" t="s">
        <v>24</v>
      </c>
      <c r="C53">
        <v>2202</v>
      </c>
      <c r="D53" s="1">
        <v>45622</v>
      </c>
      <c r="E53" s="1">
        <v>45624</v>
      </c>
      <c r="F53" t="s">
        <v>11</v>
      </c>
      <c r="G53">
        <v>53</v>
      </c>
      <c r="H53">
        <v>68</v>
      </c>
      <c r="I53">
        <v>3604</v>
      </c>
    </row>
    <row r="54" spans="1:9">
      <c r="A54" t="s">
        <v>67</v>
      </c>
      <c r="B54" t="s">
        <v>10</v>
      </c>
      <c r="C54">
        <v>13447</v>
      </c>
      <c r="D54" s="1">
        <v>45601</v>
      </c>
      <c r="E54" s="1">
        <v>45606</v>
      </c>
      <c r="F54" t="s">
        <v>11</v>
      </c>
      <c r="G54">
        <v>11</v>
      </c>
      <c r="H54">
        <v>39</v>
      </c>
      <c r="I54">
        <v>429</v>
      </c>
    </row>
    <row r="55" spans="1:9">
      <c r="A55" t="s">
        <v>68</v>
      </c>
      <c r="B55" t="s">
        <v>13</v>
      </c>
      <c r="C55">
        <v>14688</v>
      </c>
      <c r="D55" s="1">
        <v>45622</v>
      </c>
      <c r="E55" s="1">
        <v>45627</v>
      </c>
      <c r="F55" t="s">
        <v>11</v>
      </c>
      <c r="G55">
        <v>22</v>
      </c>
      <c r="H55">
        <v>82</v>
      </c>
      <c r="I55">
        <v>1804</v>
      </c>
    </row>
    <row r="56" spans="1:9">
      <c r="A56" t="s">
        <v>69</v>
      </c>
      <c r="B56" t="s">
        <v>10</v>
      </c>
      <c r="C56">
        <v>6389</v>
      </c>
      <c r="D56" s="1">
        <v>45617</v>
      </c>
      <c r="E56" s="1">
        <v>45623</v>
      </c>
      <c r="F56" t="s">
        <v>14</v>
      </c>
      <c r="G56">
        <v>49</v>
      </c>
      <c r="H56">
        <v>80</v>
      </c>
      <c r="I56">
        <v>3920</v>
      </c>
    </row>
    <row r="57" spans="1:9">
      <c r="A57" t="s">
        <v>70</v>
      </c>
      <c r="B57" t="s">
        <v>13</v>
      </c>
      <c r="C57">
        <v>4327</v>
      </c>
      <c r="D57" s="1">
        <v>45626</v>
      </c>
      <c r="E57" s="1">
        <v>45629</v>
      </c>
      <c r="F57" t="s">
        <v>14</v>
      </c>
      <c r="G57">
        <v>11</v>
      </c>
      <c r="H57">
        <v>68</v>
      </c>
      <c r="I57">
        <v>748</v>
      </c>
    </row>
    <row r="58" spans="1:9">
      <c r="A58" t="s">
        <v>71</v>
      </c>
      <c r="B58" t="s">
        <v>13</v>
      </c>
      <c r="C58">
        <v>10004</v>
      </c>
      <c r="D58" s="1">
        <v>45619</v>
      </c>
      <c r="E58" s="1">
        <v>45627</v>
      </c>
      <c r="F58" t="s">
        <v>11</v>
      </c>
      <c r="G58">
        <v>93</v>
      </c>
      <c r="H58">
        <v>90</v>
      </c>
      <c r="I58">
        <v>8370</v>
      </c>
    </row>
    <row r="59" spans="1:9">
      <c r="A59" t="s">
        <v>72</v>
      </c>
      <c r="B59" t="s">
        <v>16</v>
      </c>
      <c r="C59">
        <v>9777</v>
      </c>
      <c r="D59" s="1">
        <v>45605</v>
      </c>
      <c r="E59" s="1">
        <v>45606</v>
      </c>
      <c r="F59" t="s">
        <v>14</v>
      </c>
      <c r="G59">
        <v>74</v>
      </c>
      <c r="H59">
        <v>20</v>
      </c>
      <c r="I59">
        <v>1480</v>
      </c>
    </row>
    <row r="60" spans="1:9">
      <c r="A60" t="s">
        <v>73</v>
      </c>
      <c r="B60" t="s">
        <v>10</v>
      </c>
      <c r="C60">
        <v>2197</v>
      </c>
      <c r="D60" s="1">
        <v>45608</v>
      </c>
      <c r="E60" s="1">
        <v>45614</v>
      </c>
      <c r="F60" t="s">
        <v>11</v>
      </c>
      <c r="G60">
        <v>72</v>
      </c>
      <c r="H60">
        <v>32</v>
      </c>
      <c r="I60">
        <v>2304</v>
      </c>
    </row>
    <row r="61" spans="1:9">
      <c r="A61" t="s">
        <v>74</v>
      </c>
      <c r="B61" t="s">
        <v>16</v>
      </c>
      <c r="C61">
        <v>3930</v>
      </c>
      <c r="D61" s="1">
        <v>45617</v>
      </c>
      <c r="E61" s="1">
        <v>45621</v>
      </c>
      <c r="F61" t="s">
        <v>11</v>
      </c>
      <c r="G61">
        <v>82</v>
      </c>
      <c r="H61">
        <v>70</v>
      </c>
      <c r="I61">
        <v>5740</v>
      </c>
    </row>
    <row r="62" spans="1:9">
      <c r="A62" t="s">
        <v>75</v>
      </c>
      <c r="B62" t="s">
        <v>10</v>
      </c>
      <c r="C62">
        <v>13774</v>
      </c>
      <c r="D62" s="1">
        <v>45597</v>
      </c>
      <c r="E62" s="1">
        <v>45598</v>
      </c>
      <c r="F62" t="s">
        <v>11</v>
      </c>
      <c r="G62">
        <v>26</v>
      </c>
      <c r="H62">
        <v>75</v>
      </c>
      <c r="I62">
        <v>1950</v>
      </c>
    </row>
    <row r="63" spans="1:9">
      <c r="A63" t="s">
        <v>76</v>
      </c>
      <c r="B63" t="s">
        <v>10</v>
      </c>
      <c r="C63">
        <v>17087</v>
      </c>
      <c r="D63" s="1">
        <v>45622</v>
      </c>
      <c r="E63" s="1">
        <v>45629</v>
      </c>
      <c r="F63" t="s">
        <v>11</v>
      </c>
      <c r="G63">
        <v>18</v>
      </c>
      <c r="H63">
        <v>81</v>
      </c>
      <c r="I63">
        <v>1458</v>
      </c>
    </row>
    <row r="64" spans="1:9">
      <c r="A64" t="s">
        <v>77</v>
      </c>
      <c r="B64" t="s">
        <v>16</v>
      </c>
      <c r="C64">
        <v>11339</v>
      </c>
      <c r="D64" s="1">
        <v>45622</v>
      </c>
      <c r="E64" s="1">
        <v>45631</v>
      </c>
      <c r="F64" t="s">
        <v>14</v>
      </c>
      <c r="G64">
        <v>84</v>
      </c>
      <c r="H64">
        <v>51</v>
      </c>
      <c r="I64">
        <v>4284</v>
      </c>
    </row>
    <row r="65" spans="1:9">
      <c r="A65" t="s">
        <v>78</v>
      </c>
      <c r="B65" t="s">
        <v>16</v>
      </c>
      <c r="C65">
        <v>13589</v>
      </c>
      <c r="D65" s="1">
        <v>45597</v>
      </c>
      <c r="E65" s="1">
        <v>45601</v>
      </c>
      <c r="F65" t="s">
        <v>14</v>
      </c>
      <c r="G65">
        <v>24</v>
      </c>
      <c r="H65">
        <v>49</v>
      </c>
      <c r="I65">
        <v>1176</v>
      </c>
    </row>
    <row r="66" spans="1:9">
      <c r="A66" t="s">
        <v>79</v>
      </c>
      <c r="B66" t="s">
        <v>10</v>
      </c>
      <c r="C66">
        <v>17708</v>
      </c>
      <c r="D66" s="1">
        <v>45611</v>
      </c>
      <c r="E66" s="1">
        <v>45615</v>
      </c>
      <c r="F66" t="s">
        <v>14</v>
      </c>
      <c r="G66">
        <v>33</v>
      </c>
      <c r="H66">
        <v>48</v>
      </c>
      <c r="I66">
        <v>1584</v>
      </c>
    </row>
    <row r="67" spans="1:9">
      <c r="A67" t="s">
        <v>80</v>
      </c>
      <c r="B67" t="s">
        <v>24</v>
      </c>
      <c r="C67">
        <v>19043</v>
      </c>
      <c r="D67" s="1">
        <v>45598</v>
      </c>
      <c r="E67" s="1">
        <v>45604</v>
      </c>
      <c r="F67" t="s">
        <v>11</v>
      </c>
      <c r="G67">
        <v>47</v>
      </c>
      <c r="H67">
        <v>68</v>
      </c>
      <c r="I67">
        <v>3196</v>
      </c>
    </row>
    <row r="68" spans="1:9">
      <c r="A68" t="s">
        <v>81</v>
      </c>
      <c r="B68" t="s">
        <v>13</v>
      </c>
      <c r="C68">
        <v>4811</v>
      </c>
      <c r="D68" s="1">
        <v>45626</v>
      </c>
      <c r="E68" s="1">
        <v>45629</v>
      </c>
      <c r="F68" t="s">
        <v>14</v>
      </c>
      <c r="G68">
        <v>44</v>
      </c>
      <c r="H68">
        <v>64</v>
      </c>
      <c r="I68">
        <v>2816</v>
      </c>
    </row>
    <row r="69" spans="1:9">
      <c r="A69" t="s">
        <v>82</v>
      </c>
      <c r="B69" t="s">
        <v>16</v>
      </c>
      <c r="C69">
        <v>16243</v>
      </c>
      <c r="D69" s="1">
        <v>45618</v>
      </c>
      <c r="E69" s="1">
        <v>45624</v>
      </c>
      <c r="F69" t="s">
        <v>11</v>
      </c>
      <c r="G69">
        <v>58</v>
      </c>
      <c r="H69">
        <v>49</v>
      </c>
      <c r="I69">
        <v>2842</v>
      </c>
    </row>
    <row r="70" spans="1:9">
      <c r="A70" t="s">
        <v>83</v>
      </c>
      <c r="B70" t="s">
        <v>13</v>
      </c>
      <c r="C70">
        <v>8546</v>
      </c>
      <c r="D70" s="1">
        <v>45612</v>
      </c>
      <c r="E70" s="1">
        <v>45619</v>
      </c>
      <c r="F70" t="s">
        <v>14</v>
      </c>
      <c r="G70">
        <v>78</v>
      </c>
      <c r="H70">
        <v>35</v>
      </c>
      <c r="I70">
        <v>2730</v>
      </c>
    </row>
    <row r="71" spans="1:9">
      <c r="A71" t="s">
        <v>84</v>
      </c>
      <c r="B71" t="s">
        <v>24</v>
      </c>
      <c r="C71">
        <v>3986</v>
      </c>
      <c r="D71" s="1">
        <v>45621</v>
      </c>
      <c r="E71" s="1">
        <v>45624</v>
      </c>
      <c r="F71" t="s">
        <v>11</v>
      </c>
      <c r="G71">
        <v>71</v>
      </c>
      <c r="H71">
        <v>59</v>
      </c>
      <c r="I71">
        <v>4189</v>
      </c>
    </row>
    <row r="72" spans="1:9">
      <c r="A72" t="s">
        <v>85</v>
      </c>
      <c r="B72" t="s">
        <v>24</v>
      </c>
      <c r="C72">
        <v>10338</v>
      </c>
      <c r="D72" s="1">
        <v>45604</v>
      </c>
      <c r="E72" s="1">
        <v>45611</v>
      </c>
      <c r="F72" t="s">
        <v>11</v>
      </c>
      <c r="G72">
        <v>69</v>
      </c>
      <c r="H72">
        <v>38</v>
      </c>
      <c r="I72">
        <v>2622</v>
      </c>
    </row>
    <row r="73" spans="1:9">
      <c r="A73" t="s">
        <v>86</v>
      </c>
      <c r="B73" t="s">
        <v>24</v>
      </c>
      <c r="C73">
        <v>13411</v>
      </c>
      <c r="D73" s="1">
        <v>45609</v>
      </c>
      <c r="E73" s="1">
        <v>45612</v>
      </c>
      <c r="F73" t="s">
        <v>11</v>
      </c>
      <c r="G73">
        <v>59</v>
      </c>
      <c r="H73">
        <v>37</v>
      </c>
      <c r="I73">
        <v>2183</v>
      </c>
    </row>
    <row r="74" spans="1:9">
      <c r="A74" t="s">
        <v>87</v>
      </c>
      <c r="B74" t="s">
        <v>16</v>
      </c>
      <c r="C74">
        <v>4911</v>
      </c>
      <c r="D74" s="1">
        <v>45617</v>
      </c>
      <c r="E74" s="1">
        <v>45619</v>
      </c>
      <c r="F74" t="s">
        <v>14</v>
      </c>
      <c r="G74">
        <v>87</v>
      </c>
      <c r="H74">
        <v>20</v>
      </c>
      <c r="I74">
        <v>1740</v>
      </c>
    </row>
    <row r="75" spans="1:9">
      <c r="A75" t="s">
        <v>88</v>
      </c>
      <c r="B75" t="s">
        <v>24</v>
      </c>
      <c r="C75">
        <v>3734</v>
      </c>
      <c r="D75" s="1">
        <v>45597</v>
      </c>
      <c r="E75" s="1">
        <v>45601</v>
      </c>
      <c r="F75" t="s">
        <v>14</v>
      </c>
      <c r="G75">
        <v>84</v>
      </c>
      <c r="H75">
        <v>97</v>
      </c>
      <c r="I75">
        <v>8148</v>
      </c>
    </row>
    <row r="76" spans="1:9">
      <c r="A76" t="s">
        <v>89</v>
      </c>
      <c r="B76" t="s">
        <v>16</v>
      </c>
      <c r="C76">
        <v>10680</v>
      </c>
      <c r="D76" s="1">
        <v>45612</v>
      </c>
      <c r="E76" s="1">
        <v>45620</v>
      </c>
      <c r="F76" t="s">
        <v>14</v>
      </c>
      <c r="G76">
        <v>18</v>
      </c>
      <c r="H76">
        <v>66</v>
      </c>
      <c r="I76">
        <v>1188</v>
      </c>
    </row>
    <row r="77" spans="1:9">
      <c r="A77" t="s">
        <v>90</v>
      </c>
      <c r="B77" t="s">
        <v>24</v>
      </c>
      <c r="C77">
        <v>7759</v>
      </c>
      <c r="D77" s="1">
        <v>45625</v>
      </c>
      <c r="E77" s="1">
        <v>45634</v>
      </c>
      <c r="F77" t="s">
        <v>14</v>
      </c>
      <c r="G77">
        <v>43</v>
      </c>
      <c r="H77">
        <v>85</v>
      </c>
      <c r="I77">
        <v>3655</v>
      </c>
    </row>
    <row r="78" spans="1:9">
      <c r="A78" t="s">
        <v>91</v>
      </c>
      <c r="B78" t="s">
        <v>13</v>
      </c>
      <c r="C78">
        <v>4385</v>
      </c>
      <c r="D78" s="1">
        <v>45603</v>
      </c>
      <c r="E78" s="1">
        <v>45610</v>
      </c>
      <c r="F78" t="s">
        <v>11</v>
      </c>
      <c r="G78">
        <v>85</v>
      </c>
      <c r="H78">
        <v>57</v>
      </c>
      <c r="I78">
        <v>4845</v>
      </c>
    </row>
    <row r="79" spans="1:9">
      <c r="A79" t="s">
        <v>92</v>
      </c>
      <c r="B79" t="s">
        <v>13</v>
      </c>
      <c r="C79">
        <v>13111</v>
      </c>
      <c r="D79" s="1">
        <v>45601</v>
      </c>
      <c r="E79" s="1">
        <v>45602</v>
      </c>
      <c r="F79" t="s">
        <v>14</v>
      </c>
      <c r="G79">
        <v>44</v>
      </c>
      <c r="H79">
        <v>70</v>
      </c>
      <c r="I79">
        <v>3080</v>
      </c>
    </row>
    <row r="80" spans="1:9">
      <c r="A80" t="s">
        <v>93</v>
      </c>
      <c r="B80" t="s">
        <v>10</v>
      </c>
      <c r="C80">
        <v>6736</v>
      </c>
      <c r="D80" s="1">
        <v>45618</v>
      </c>
      <c r="E80" s="1">
        <v>45621</v>
      </c>
      <c r="F80" t="s">
        <v>14</v>
      </c>
      <c r="G80">
        <v>10</v>
      </c>
      <c r="H80">
        <v>82</v>
      </c>
      <c r="I80">
        <v>820</v>
      </c>
    </row>
    <row r="81" spans="1:9">
      <c r="A81" t="s">
        <v>94</v>
      </c>
      <c r="B81" t="s">
        <v>13</v>
      </c>
      <c r="C81">
        <v>3802</v>
      </c>
      <c r="D81" s="1">
        <v>45625</v>
      </c>
      <c r="E81" s="1">
        <v>45634</v>
      </c>
      <c r="F81" t="s">
        <v>11</v>
      </c>
      <c r="G81">
        <v>49</v>
      </c>
      <c r="H81">
        <v>23</v>
      </c>
      <c r="I81">
        <v>1127</v>
      </c>
    </row>
    <row r="82" spans="1:9">
      <c r="A82" t="s">
        <v>95</v>
      </c>
      <c r="B82" t="s">
        <v>10</v>
      </c>
      <c r="C82">
        <v>10155</v>
      </c>
      <c r="D82" s="1">
        <v>45619</v>
      </c>
      <c r="E82" s="1">
        <v>45620</v>
      </c>
      <c r="F82" t="s">
        <v>11</v>
      </c>
      <c r="G82">
        <v>73</v>
      </c>
      <c r="H82">
        <v>20</v>
      </c>
      <c r="I82">
        <v>1460</v>
      </c>
    </row>
    <row r="83" spans="1:9">
      <c r="A83" t="s">
        <v>96</v>
      </c>
      <c r="B83" t="s">
        <v>13</v>
      </c>
      <c r="C83">
        <v>10120</v>
      </c>
      <c r="D83" s="1">
        <v>45599</v>
      </c>
      <c r="E83" s="1">
        <v>45608</v>
      </c>
      <c r="F83" t="s">
        <v>11</v>
      </c>
      <c r="G83">
        <v>31</v>
      </c>
      <c r="H83">
        <v>27</v>
      </c>
      <c r="I83">
        <v>837</v>
      </c>
    </row>
    <row r="84" spans="1:9">
      <c r="A84" t="s">
        <v>97</v>
      </c>
      <c r="B84" t="s">
        <v>16</v>
      </c>
      <c r="C84">
        <v>8616</v>
      </c>
      <c r="D84" s="1">
        <v>45608</v>
      </c>
      <c r="E84" s="1">
        <v>45616</v>
      </c>
      <c r="F84" t="s">
        <v>14</v>
      </c>
      <c r="G84">
        <v>69</v>
      </c>
      <c r="H84">
        <v>48</v>
      </c>
      <c r="I84">
        <v>3312</v>
      </c>
    </row>
    <row r="85" spans="1:9">
      <c r="A85" t="s">
        <v>98</v>
      </c>
      <c r="B85" t="s">
        <v>13</v>
      </c>
      <c r="C85">
        <v>16257</v>
      </c>
      <c r="D85" s="1">
        <v>45622</v>
      </c>
      <c r="E85" s="1">
        <v>45623</v>
      </c>
      <c r="F85" t="s">
        <v>11</v>
      </c>
      <c r="G85">
        <v>73</v>
      </c>
      <c r="H85">
        <v>74</v>
      </c>
      <c r="I85">
        <v>5402</v>
      </c>
    </row>
    <row r="86" spans="1:9">
      <c r="A86" t="s">
        <v>99</v>
      </c>
      <c r="B86" t="s">
        <v>10</v>
      </c>
      <c r="C86">
        <v>16486</v>
      </c>
      <c r="D86" s="1">
        <v>45612</v>
      </c>
      <c r="E86" s="1">
        <v>45618</v>
      </c>
      <c r="F86" t="s">
        <v>11</v>
      </c>
      <c r="G86">
        <v>81</v>
      </c>
      <c r="H86">
        <v>22</v>
      </c>
      <c r="I86">
        <v>1782</v>
      </c>
    </row>
    <row r="87" spans="1:9">
      <c r="A87" t="s">
        <v>100</v>
      </c>
      <c r="B87" t="s">
        <v>10</v>
      </c>
      <c r="C87">
        <v>18646</v>
      </c>
      <c r="D87" s="1">
        <v>45615</v>
      </c>
      <c r="E87" s="1">
        <v>45620</v>
      </c>
      <c r="F87" t="s">
        <v>11</v>
      </c>
      <c r="G87">
        <v>20</v>
      </c>
      <c r="H87">
        <v>51</v>
      </c>
      <c r="I87">
        <v>1020</v>
      </c>
    </row>
    <row r="88" spans="1:9">
      <c r="A88" t="s">
        <v>101</v>
      </c>
      <c r="B88" t="s">
        <v>24</v>
      </c>
      <c r="C88">
        <v>16075</v>
      </c>
      <c r="D88" s="1">
        <v>45601</v>
      </c>
      <c r="E88" s="1">
        <v>45607</v>
      </c>
      <c r="F88" t="s">
        <v>14</v>
      </c>
      <c r="G88">
        <v>23</v>
      </c>
      <c r="H88">
        <v>29</v>
      </c>
      <c r="I88">
        <v>667</v>
      </c>
    </row>
    <row r="89" spans="1:9">
      <c r="A89" t="s">
        <v>102</v>
      </c>
      <c r="B89" t="s">
        <v>16</v>
      </c>
      <c r="C89">
        <v>11208</v>
      </c>
      <c r="D89" s="1">
        <v>45618</v>
      </c>
      <c r="E89" s="1">
        <v>45623</v>
      </c>
      <c r="F89" t="s">
        <v>11</v>
      </c>
      <c r="G89">
        <v>69</v>
      </c>
      <c r="H89">
        <v>93</v>
      </c>
      <c r="I89">
        <v>6417</v>
      </c>
    </row>
    <row r="90" spans="1:9">
      <c r="A90" t="s">
        <v>103</v>
      </c>
      <c r="B90" t="s">
        <v>13</v>
      </c>
      <c r="C90">
        <v>18371</v>
      </c>
      <c r="D90" s="1">
        <v>45621</v>
      </c>
      <c r="E90" s="1">
        <v>45627</v>
      </c>
      <c r="F90" t="s">
        <v>14</v>
      </c>
      <c r="G90">
        <v>39</v>
      </c>
      <c r="H90">
        <v>53</v>
      </c>
      <c r="I90">
        <v>2067</v>
      </c>
    </row>
    <row r="91" spans="1:9">
      <c r="A91" t="s">
        <v>104</v>
      </c>
      <c r="B91" t="s">
        <v>24</v>
      </c>
      <c r="C91">
        <v>13835</v>
      </c>
      <c r="D91" s="1">
        <v>45625</v>
      </c>
      <c r="E91" s="1">
        <v>45630</v>
      </c>
      <c r="F91" t="s">
        <v>14</v>
      </c>
      <c r="G91">
        <v>44</v>
      </c>
      <c r="H91">
        <v>74</v>
      </c>
      <c r="I91">
        <v>3256</v>
      </c>
    </row>
    <row r="92" spans="1:9">
      <c r="A92" t="s">
        <v>105</v>
      </c>
      <c r="B92" t="s">
        <v>13</v>
      </c>
      <c r="C92">
        <v>15168</v>
      </c>
      <c r="D92" s="1">
        <v>45610</v>
      </c>
      <c r="E92" s="1">
        <v>45615</v>
      </c>
      <c r="F92" t="s">
        <v>11</v>
      </c>
      <c r="G92">
        <v>94</v>
      </c>
      <c r="H92">
        <v>51</v>
      </c>
      <c r="I92">
        <v>4794</v>
      </c>
    </row>
    <row r="93" spans="1:9">
      <c r="A93" t="s">
        <v>106</v>
      </c>
      <c r="B93" t="s">
        <v>13</v>
      </c>
      <c r="C93">
        <v>4049</v>
      </c>
      <c r="D93" s="1">
        <v>45624</v>
      </c>
      <c r="E93" s="1">
        <v>45628</v>
      </c>
      <c r="F93" t="s">
        <v>11</v>
      </c>
      <c r="G93">
        <v>46</v>
      </c>
      <c r="H93">
        <v>69</v>
      </c>
      <c r="I93">
        <v>3174</v>
      </c>
    </row>
    <row r="94" spans="1:9">
      <c r="A94" t="s">
        <v>107</v>
      </c>
      <c r="B94" t="s">
        <v>24</v>
      </c>
      <c r="C94">
        <v>7423</v>
      </c>
      <c r="D94" s="1">
        <v>45601</v>
      </c>
      <c r="E94" s="1">
        <v>45604</v>
      </c>
      <c r="F94" t="s">
        <v>14</v>
      </c>
      <c r="G94">
        <v>14</v>
      </c>
      <c r="H94">
        <v>26</v>
      </c>
      <c r="I94">
        <v>364</v>
      </c>
    </row>
    <row r="95" spans="1:9">
      <c r="A95" t="s">
        <v>108</v>
      </c>
      <c r="B95" t="s">
        <v>24</v>
      </c>
      <c r="C95">
        <v>16589</v>
      </c>
      <c r="D95" s="1">
        <v>45611</v>
      </c>
      <c r="E95" s="1">
        <v>45614</v>
      </c>
      <c r="F95" t="s">
        <v>11</v>
      </c>
      <c r="G95">
        <v>92</v>
      </c>
      <c r="H95">
        <v>27</v>
      </c>
      <c r="I95">
        <v>2484</v>
      </c>
    </row>
    <row r="96" spans="1:9">
      <c r="A96" t="s">
        <v>109</v>
      </c>
      <c r="B96" t="s">
        <v>24</v>
      </c>
      <c r="C96">
        <v>9158</v>
      </c>
      <c r="D96" s="1">
        <v>45613</v>
      </c>
      <c r="E96" s="1">
        <v>45617</v>
      </c>
      <c r="F96" t="s">
        <v>11</v>
      </c>
      <c r="G96">
        <v>87</v>
      </c>
      <c r="H96">
        <v>84</v>
      </c>
      <c r="I96">
        <v>7308</v>
      </c>
    </row>
    <row r="97" spans="1:9">
      <c r="A97" t="s">
        <v>110</v>
      </c>
      <c r="B97" t="s">
        <v>24</v>
      </c>
      <c r="C97">
        <v>12248</v>
      </c>
      <c r="D97" s="1">
        <v>45626</v>
      </c>
      <c r="E97" s="1">
        <v>45635</v>
      </c>
      <c r="F97" t="s">
        <v>14</v>
      </c>
      <c r="G97">
        <v>35</v>
      </c>
      <c r="H97">
        <v>76</v>
      </c>
      <c r="I97">
        <v>2660</v>
      </c>
    </row>
    <row r="98" spans="1:9">
      <c r="A98" t="s">
        <v>111</v>
      </c>
      <c r="B98" t="s">
        <v>24</v>
      </c>
      <c r="C98">
        <v>9400</v>
      </c>
      <c r="D98" s="1">
        <v>45610</v>
      </c>
      <c r="E98" s="1">
        <v>45612</v>
      </c>
      <c r="F98" t="s">
        <v>14</v>
      </c>
      <c r="G98">
        <v>71</v>
      </c>
      <c r="H98">
        <v>86</v>
      </c>
      <c r="I98">
        <v>6106</v>
      </c>
    </row>
    <row r="99" spans="1:9">
      <c r="A99" t="s">
        <v>112</v>
      </c>
      <c r="B99" t="s">
        <v>13</v>
      </c>
      <c r="C99">
        <v>11874</v>
      </c>
      <c r="D99" s="1">
        <v>45626</v>
      </c>
      <c r="E99" s="1">
        <v>45635</v>
      </c>
      <c r="F99" t="s">
        <v>11</v>
      </c>
      <c r="G99">
        <v>13</v>
      </c>
      <c r="H99">
        <v>78</v>
      </c>
      <c r="I99">
        <v>1014</v>
      </c>
    </row>
    <row r="100" spans="1:9">
      <c r="A100" t="s">
        <v>113</v>
      </c>
      <c r="B100" t="s">
        <v>24</v>
      </c>
      <c r="C100">
        <v>17151</v>
      </c>
      <c r="D100" s="1">
        <v>45616</v>
      </c>
      <c r="E100" s="1">
        <v>45617</v>
      </c>
      <c r="F100" t="s">
        <v>14</v>
      </c>
      <c r="G100">
        <v>98</v>
      </c>
      <c r="H100">
        <v>91</v>
      </c>
      <c r="I100">
        <v>8918</v>
      </c>
    </row>
    <row r="101" spans="1:9">
      <c r="A101" t="s">
        <v>114</v>
      </c>
      <c r="B101" t="s">
        <v>16</v>
      </c>
      <c r="C101">
        <v>3154</v>
      </c>
      <c r="D101" s="1">
        <v>45601</v>
      </c>
      <c r="E101" s="1">
        <v>45602</v>
      </c>
      <c r="F101" t="s">
        <v>11</v>
      </c>
      <c r="G101">
        <v>51</v>
      </c>
      <c r="H101">
        <v>73</v>
      </c>
      <c r="I101">
        <v>3723</v>
      </c>
    </row>
    <row r="102" spans="1:9">
      <c r="A102" t="s">
        <v>115</v>
      </c>
      <c r="B102" t="s">
        <v>10</v>
      </c>
      <c r="C102">
        <v>6499</v>
      </c>
      <c r="D102" s="1">
        <v>45608</v>
      </c>
      <c r="E102" s="1">
        <v>45613</v>
      </c>
      <c r="F102" t="s">
        <v>11</v>
      </c>
      <c r="G102">
        <v>98</v>
      </c>
      <c r="H102">
        <v>86</v>
      </c>
      <c r="I102">
        <v>8428</v>
      </c>
    </row>
    <row r="103" spans="1:9">
      <c r="A103" t="s">
        <v>116</v>
      </c>
      <c r="B103" t="s">
        <v>24</v>
      </c>
      <c r="C103">
        <v>8295</v>
      </c>
      <c r="D103" s="1">
        <v>45612</v>
      </c>
      <c r="E103" s="1">
        <v>45618</v>
      </c>
      <c r="F103" t="s">
        <v>11</v>
      </c>
      <c r="G103">
        <v>27</v>
      </c>
      <c r="H103">
        <v>70</v>
      </c>
      <c r="I103">
        <v>1890</v>
      </c>
    </row>
    <row r="104" spans="1:9">
      <c r="A104" t="s">
        <v>117</v>
      </c>
      <c r="B104" t="s">
        <v>24</v>
      </c>
      <c r="C104">
        <v>14183</v>
      </c>
      <c r="D104" s="1">
        <v>45622</v>
      </c>
      <c r="E104" s="1">
        <v>45628</v>
      </c>
      <c r="F104" t="s">
        <v>14</v>
      </c>
      <c r="G104">
        <v>49</v>
      </c>
      <c r="H104">
        <v>27</v>
      </c>
      <c r="I104">
        <v>1323</v>
      </c>
    </row>
    <row r="105" spans="1:9">
      <c r="A105" t="s">
        <v>118</v>
      </c>
      <c r="B105" t="s">
        <v>13</v>
      </c>
      <c r="C105">
        <v>14874</v>
      </c>
      <c r="D105" s="1">
        <v>45622</v>
      </c>
      <c r="E105" s="1">
        <v>45625</v>
      </c>
      <c r="F105" t="s">
        <v>11</v>
      </c>
      <c r="G105">
        <v>81</v>
      </c>
      <c r="H105">
        <v>53</v>
      </c>
      <c r="I105">
        <v>4293</v>
      </c>
    </row>
    <row r="106" spans="1:9">
      <c r="A106" t="s">
        <v>119</v>
      </c>
      <c r="B106" t="s">
        <v>24</v>
      </c>
      <c r="C106">
        <v>7539</v>
      </c>
      <c r="D106" s="1">
        <v>45612</v>
      </c>
      <c r="E106" s="1">
        <v>45619</v>
      </c>
      <c r="F106" t="s">
        <v>11</v>
      </c>
      <c r="G106">
        <v>48</v>
      </c>
      <c r="H106">
        <v>54</v>
      </c>
      <c r="I106">
        <v>2592</v>
      </c>
    </row>
    <row r="107" spans="1:9">
      <c r="A107" t="s">
        <v>120</v>
      </c>
      <c r="B107" t="s">
        <v>24</v>
      </c>
      <c r="C107">
        <v>11637</v>
      </c>
      <c r="D107" s="1">
        <v>45617</v>
      </c>
      <c r="E107" s="1">
        <v>45626</v>
      </c>
      <c r="F107" t="s">
        <v>11</v>
      </c>
      <c r="G107">
        <v>23</v>
      </c>
      <c r="H107">
        <v>97</v>
      </c>
      <c r="I107">
        <v>2231</v>
      </c>
    </row>
    <row r="108" spans="1:9">
      <c r="A108" t="s">
        <v>121</v>
      </c>
      <c r="B108" t="s">
        <v>24</v>
      </c>
      <c r="C108">
        <v>17586</v>
      </c>
      <c r="D108" s="1">
        <v>45603</v>
      </c>
      <c r="E108" s="1">
        <v>45611</v>
      </c>
      <c r="F108" t="s">
        <v>14</v>
      </c>
      <c r="G108">
        <v>41</v>
      </c>
      <c r="H108">
        <v>51</v>
      </c>
      <c r="I108">
        <v>2091</v>
      </c>
    </row>
    <row r="109" spans="1:9">
      <c r="A109" t="s">
        <v>122</v>
      </c>
      <c r="B109" t="s">
        <v>13</v>
      </c>
      <c r="C109">
        <v>4557</v>
      </c>
      <c r="D109" s="1">
        <v>45600</v>
      </c>
      <c r="E109" s="1">
        <v>45606</v>
      </c>
      <c r="F109" t="s">
        <v>14</v>
      </c>
      <c r="G109">
        <v>60</v>
      </c>
      <c r="H109">
        <v>65</v>
      </c>
      <c r="I109">
        <v>3900</v>
      </c>
    </row>
    <row r="110" spans="1:9">
      <c r="A110" t="s">
        <v>123</v>
      </c>
      <c r="B110" t="s">
        <v>24</v>
      </c>
      <c r="C110">
        <v>7592</v>
      </c>
      <c r="D110" s="1">
        <v>45597</v>
      </c>
      <c r="E110" s="1">
        <v>45605</v>
      </c>
      <c r="F110" t="s">
        <v>14</v>
      </c>
      <c r="G110">
        <v>47</v>
      </c>
      <c r="H110">
        <v>35</v>
      </c>
      <c r="I110">
        <v>1645</v>
      </c>
    </row>
    <row r="111" spans="1:9">
      <c r="A111" t="s">
        <v>124</v>
      </c>
      <c r="B111" t="s">
        <v>10</v>
      </c>
      <c r="C111">
        <v>18482</v>
      </c>
      <c r="D111" s="1">
        <v>45626</v>
      </c>
      <c r="E111" s="1">
        <v>45631</v>
      </c>
      <c r="F111" t="s">
        <v>14</v>
      </c>
      <c r="G111">
        <v>32</v>
      </c>
      <c r="H111">
        <v>87</v>
      </c>
      <c r="I111">
        <v>2784</v>
      </c>
    </row>
    <row r="112" spans="1:9">
      <c r="A112" t="s">
        <v>125</v>
      </c>
      <c r="B112" t="s">
        <v>13</v>
      </c>
      <c r="C112">
        <v>4200</v>
      </c>
      <c r="D112" s="1">
        <v>45626</v>
      </c>
      <c r="E112" s="1">
        <v>45634</v>
      </c>
      <c r="F112" t="s">
        <v>14</v>
      </c>
      <c r="G112">
        <v>72</v>
      </c>
      <c r="H112">
        <v>56</v>
      </c>
      <c r="I112">
        <v>4032</v>
      </c>
    </row>
    <row r="113" spans="1:9">
      <c r="A113" t="s">
        <v>126</v>
      </c>
      <c r="B113" t="s">
        <v>10</v>
      </c>
      <c r="C113">
        <v>16172</v>
      </c>
      <c r="D113" s="1">
        <v>45601</v>
      </c>
      <c r="E113" s="1">
        <v>45605</v>
      </c>
      <c r="F113" t="s">
        <v>11</v>
      </c>
      <c r="G113">
        <v>24</v>
      </c>
      <c r="H113">
        <v>73</v>
      </c>
      <c r="I113">
        <v>1752</v>
      </c>
    </row>
    <row r="114" spans="1:9">
      <c r="A114" t="s">
        <v>127</v>
      </c>
      <c r="B114" t="s">
        <v>13</v>
      </c>
      <c r="C114">
        <v>4961</v>
      </c>
      <c r="D114" s="1">
        <v>45619</v>
      </c>
      <c r="E114" s="1">
        <v>45627</v>
      </c>
      <c r="F114" t="s">
        <v>14</v>
      </c>
      <c r="G114">
        <v>34</v>
      </c>
      <c r="H114">
        <v>33</v>
      </c>
      <c r="I114">
        <v>1122</v>
      </c>
    </row>
    <row r="115" spans="1:9">
      <c r="A115" t="s">
        <v>128</v>
      </c>
      <c r="B115" t="s">
        <v>24</v>
      </c>
      <c r="C115">
        <v>16207</v>
      </c>
      <c r="D115" s="1">
        <v>45622</v>
      </c>
      <c r="E115" s="1">
        <v>45624</v>
      </c>
      <c r="F115" t="s">
        <v>14</v>
      </c>
      <c r="G115">
        <v>26</v>
      </c>
      <c r="H115">
        <v>74</v>
      </c>
      <c r="I115">
        <v>1924</v>
      </c>
    </row>
    <row r="116" spans="1:9">
      <c r="A116" t="s">
        <v>129</v>
      </c>
      <c r="B116" t="s">
        <v>10</v>
      </c>
      <c r="C116">
        <v>13969</v>
      </c>
      <c r="D116" s="1">
        <v>45606</v>
      </c>
      <c r="E116" s="1">
        <v>45611</v>
      </c>
      <c r="F116" t="s">
        <v>14</v>
      </c>
      <c r="G116">
        <v>75</v>
      </c>
      <c r="H116">
        <v>67</v>
      </c>
      <c r="I116">
        <v>5025</v>
      </c>
    </row>
    <row r="117" spans="1:9">
      <c r="A117" t="s">
        <v>130</v>
      </c>
      <c r="B117" t="s">
        <v>13</v>
      </c>
      <c r="C117">
        <v>4869</v>
      </c>
      <c r="D117" s="1">
        <v>45618</v>
      </c>
      <c r="E117" s="1">
        <v>45627</v>
      </c>
      <c r="F117" t="s">
        <v>11</v>
      </c>
      <c r="G117">
        <v>87</v>
      </c>
      <c r="H117">
        <v>26</v>
      </c>
      <c r="I117">
        <v>2262</v>
      </c>
    </row>
    <row r="118" spans="1:9">
      <c r="A118" t="s">
        <v>131</v>
      </c>
      <c r="B118" t="s">
        <v>16</v>
      </c>
      <c r="C118">
        <v>19340</v>
      </c>
      <c r="D118" s="1">
        <v>45601</v>
      </c>
      <c r="E118" s="1">
        <v>45605</v>
      </c>
      <c r="F118" t="s">
        <v>14</v>
      </c>
      <c r="G118">
        <v>62</v>
      </c>
      <c r="H118">
        <v>93</v>
      </c>
      <c r="I118">
        <v>5766</v>
      </c>
    </row>
    <row r="119" spans="1:9">
      <c r="A119" t="s">
        <v>132</v>
      </c>
      <c r="B119" t="s">
        <v>24</v>
      </c>
      <c r="C119">
        <v>15992</v>
      </c>
      <c r="D119" s="1">
        <v>45600</v>
      </c>
      <c r="E119" s="1">
        <v>45606</v>
      </c>
      <c r="F119" t="s">
        <v>14</v>
      </c>
      <c r="G119">
        <v>60</v>
      </c>
      <c r="H119">
        <v>26</v>
      </c>
      <c r="I119">
        <v>1560</v>
      </c>
    </row>
    <row r="120" spans="1:9">
      <c r="A120" t="s">
        <v>133</v>
      </c>
      <c r="B120" t="s">
        <v>13</v>
      </c>
      <c r="C120">
        <v>7699</v>
      </c>
      <c r="D120" s="1">
        <v>45598</v>
      </c>
      <c r="E120" s="1">
        <v>45599</v>
      </c>
      <c r="F120" t="s">
        <v>11</v>
      </c>
      <c r="G120">
        <v>48</v>
      </c>
      <c r="H120">
        <v>52</v>
      </c>
      <c r="I120">
        <v>2496</v>
      </c>
    </row>
    <row r="121" spans="1:9">
      <c r="A121" t="s">
        <v>134</v>
      </c>
      <c r="B121" t="s">
        <v>16</v>
      </c>
      <c r="C121">
        <v>5987</v>
      </c>
      <c r="D121" s="1">
        <v>45616</v>
      </c>
      <c r="E121" s="1">
        <v>45625</v>
      </c>
      <c r="F121" t="s">
        <v>14</v>
      </c>
      <c r="G121">
        <v>60</v>
      </c>
      <c r="H121">
        <v>42</v>
      </c>
      <c r="I121">
        <v>2520</v>
      </c>
    </row>
    <row r="122" spans="1:9">
      <c r="A122" t="s">
        <v>135</v>
      </c>
      <c r="B122" t="s">
        <v>13</v>
      </c>
      <c r="C122">
        <v>15446</v>
      </c>
      <c r="D122" s="1">
        <v>45606</v>
      </c>
      <c r="E122" s="1">
        <v>45607</v>
      </c>
      <c r="F122" t="s">
        <v>11</v>
      </c>
      <c r="G122">
        <v>79</v>
      </c>
      <c r="H122">
        <v>38</v>
      </c>
      <c r="I122">
        <v>3002</v>
      </c>
    </row>
    <row r="123" spans="1:9">
      <c r="A123" t="s">
        <v>136</v>
      </c>
      <c r="B123" t="s">
        <v>16</v>
      </c>
      <c r="C123">
        <v>3218</v>
      </c>
      <c r="D123" s="1">
        <v>45622</v>
      </c>
      <c r="E123" s="1">
        <v>45627</v>
      </c>
      <c r="F123" t="s">
        <v>11</v>
      </c>
      <c r="G123">
        <v>15</v>
      </c>
      <c r="H123">
        <v>38</v>
      </c>
      <c r="I123">
        <v>570</v>
      </c>
    </row>
    <row r="124" spans="1:9">
      <c r="A124" t="s">
        <v>137</v>
      </c>
      <c r="B124" t="s">
        <v>24</v>
      </c>
      <c r="C124">
        <v>6735</v>
      </c>
      <c r="D124" s="1">
        <v>45615</v>
      </c>
      <c r="E124" s="1">
        <v>45619</v>
      </c>
      <c r="F124" t="s">
        <v>11</v>
      </c>
      <c r="G124">
        <v>76</v>
      </c>
      <c r="H124">
        <v>55</v>
      </c>
      <c r="I124">
        <v>4180</v>
      </c>
    </row>
    <row r="125" spans="1:9">
      <c r="A125" t="s">
        <v>138</v>
      </c>
      <c r="B125" t="s">
        <v>10</v>
      </c>
      <c r="C125">
        <v>13296</v>
      </c>
      <c r="D125" s="1">
        <v>45622</v>
      </c>
      <c r="E125" s="1">
        <v>45625</v>
      </c>
      <c r="F125" t="s">
        <v>11</v>
      </c>
      <c r="G125">
        <v>16</v>
      </c>
      <c r="H125">
        <v>48</v>
      </c>
      <c r="I125">
        <v>768</v>
      </c>
    </row>
    <row r="126" spans="1:9">
      <c r="A126" t="s">
        <v>139</v>
      </c>
      <c r="B126" t="s">
        <v>16</v>
      </c>
      <c r="C126">
        <v>6555</v>
      </c>
      <c r="D126" s="1">
        <v>45597</v>
      </c>
      <c r="E126" s="1">
        <v>45603</v>
      </c>
      <c r="F126" t="s">
        <v>11</v>
      </c>
      <c r="G126">
        <v>60</v>
      </c>
      <c r="H126">
        <v>79</v>
      </c>
      <c r="I126">
        <v>4740</v>
      </c>
    </row>
    <row r="127" spans="1:9">
      <c r="A127" t="s">
        <v>140</v>
      </c>
      <c r="B127" t="s">
        <v>13</v>
      </c>
      <c r="C127">
        <v>11146</v>
      </c>
      <c r="D127" s="1">
        <v>45620</v>
      </c>
      <c r="E127" s="1">
        <v>45622</v>
      </c>
      <c r="F127" t="s">
        <v>14</v>
      </c>
      <c r="G127">
        <v>81</v>
      </c>
      <c r="H127">
        <v>21</v>
      </c>
      <c r="I127">
        <v>1701</v>
      </c>
    </row>
    <row r="128" spans="1:9">
      <c r="A128" t="s">
        <v>141</v>
      </c>
      <c r="B128" t="s">
        <v>24</v>
      </c>
      <c r="C128">
        <v>10050</v>
      </c>
      <c r="D128" s="1">
        <v>45601</v>
      </c>
      <c r="E128" s="1">
        <v>45604</v>
      </c>
      <c r="F128" t="s">
        <v>11</v>
      </c>
      <c r="G128">
        <v>51</v>
      </c>
      <c r="H128">
        <v>20</v>
      </c>
      <c r="I128">
        <v>1020</v>
      </c>
    </row>
    <row r="129" spans="1:9">
      <c r="A129" t="s">
        <v>142</v>
      </c>
      <c r="B129" t="s">
        <v>16</v>
      </c>
      <c r="C129">
        <v>14757</v>
      </c>
      <c r="D129" s="1">
        <v>45609</v>
      </c>
      <c r="E129" s="1">
        <v>45614</v>
      </c>
      <c r="F129" t="s">
        <v>11</v>
      </c>
      <c r="G129">
        <v>73</v>
      </c>
      <c r="H129">
        <v>66</v>
      </c>
      <c r="I129">
        <v>4818</v>
      </c>
    </row>
    <row r="130" spans="1:9">
      <c r="A130" t="s">
        <v>143</v>
      </c>
      <c r="B130" t="s">
        <v>13</v>
      </c>
      <c r="C130">
        <v>19429</v>
      </c>
      <c r="D130" s="1">
        <v>45600</v>
      </c>
      <c r="E130" s="1">
        <v>45609</v>
      </c>
      <c r="F130" t="s">
        <v>14</v>
      </c>
      <c r="G130">
        <v>24</v>
      </c>
      <c r="H130">
        <v>88</v>
      </c>
      <c r="I130">
        <v>2112</v>
      </c>
    </row>
    <row r="131" spans="1:9">
      <c r="A131" t="s">
        <v>144</v>
      </c>
      <c r="B131" t="s">
        <v>13</v>
      </c>
      <c r="C131">
        <v>8893</v>
      </c>
      <c r="D131" s="1">
        <v>45612</v>
      </c>
      <c r="E131" s="1">
        <v>45614</v>
      </c>
      <c r="F131" t="s">
        <v>11</v>
      </c>
      <c r="G131">
        <v>38</v>
      </c>
      <c r="H131">
        <v>39</v>
      </c>
      <c r="I131">
        <v>1482</v>
      </c>
    </row>
    <row r="132" spans="1:9">
      <c r="A132" t="s">
        <v>145</v>
      </c>
      <c r="B132" t="s">
        <v>13</v>
      </c>
      <c r="C132">
        <v>16373</v>
      </c>
      <c r="D132" s="1">
        <v>45620</v>
      </c>
      <c r="E132" s="1">
        <v>45628</v>
      </c>
      <c r="F132" t="s">
        <v>14</v>
      </c>
      <c r="G132">
        <v>42</v>
      </c>
      <c r="H132">
        <v>30</v>
      </c>
      <c r="I132">
        <v>1260</v>
      </c>
    </row>
    <row r="133" spans="1:9">
      <c r="A133" t="s">
        <v>146</v>
      </c>
      <c r="B133" t="s">
        <v>16</v>
      </c>
      <c r="C133">
        <v>16565</v>
      </c>
      <c r="D133" s="1">
        <v>45612</v>
      </c>
      <c r="E133" s="1">
        <v>45614</v>
      </c>
      <c r="F133" t="s">
        <v>14</v>
      </c>
      <c r="G133">
        <v>36</v>
      </c>
      <c r="H133">
        <v>21</v>
      </c>
      <c r="I133">
        <v>756</v>
      </c>
    </row>
    <row r="134" spans="1:9">
      <c r="A134" t="s">
        <v>147</v>
      </c>
      <c r="B134" t="s">
        <v>16</v>
      </c>
      <c r="C134">
        <v>5436</v>
      </c>
      <c r="D134" s="1">
        <v>45619</v>
      </c>
      <c r="E134" s="1">
        <v>45624</v>
      </c>
      <c r="F134" t="s">
        <v>14</v>
      </c>
      <c r="G134">
        <v>45</v>
      </c>
      <c r="H134">
        <v>86</v>
      </c>
      <c r="I134">
        <v>3870</v>
      </c>
    </row>
    <row r="135" spans="1:9">
      <c r="A135" t="s">
        <v>148</v>
      </c>
      <c r="B135" t="s">
        <v>16</v>
      </c>
      <c r="C135">
        <v>10754</v>
      </c>
      <c r="D135" s="1">
        <v>45598</v>
      </c>
      <c r="E135" s="1">
        <v>45605</v>
      </c>
      <c r="F135" t="s">
        <v>11</v>
      </c>
      <c r="G135">
        <v>38</v>
      </c>
      <c r="H135">
        <v>31</v>
      </c>
      <c r="I135">
        <v>1178</v>
      </c>
    </row>
    <row r="136" spans="1:9">
      <c r="A136" t="s">
        <v>149</v>
      </c>
      <c r="B136" t="s">
        <v>10</v>
      </c>
      <c r="C136">
        <v>12677</v>
      </c>
      <c r="D136" s="1">
        <v>45613</v>
      </c>
      <c r="E136" s="1">
        <v>45621</v>
      </c>
      <c r="F136" t="s">
        <v>11</v>
      </c>
      <c r="G136">
        <v>47</v>
      </c>
      <c r="H136">
        <v>39</v>
      </c>
      <c r="I136">
        <v>1833</v>
      </c>
    </row>
    <row r="137" spans="1:9">
      <c r="A137" t="s">
        <v>150</v>
      </c>
      <c r="B137" t="s">
        <v>16</v>
      </c>
      <c r="C137">
        <v>7895</v>
      </c>
      <c r="D137" s="1">
        <v>45624</v>
      </c>
      <c r="E137" s="1">
        <v>45625</v>
      </c>
      <c r="F137" t="s">
        <v>11</v>
      </c>
      <c r="G137">
        <v>66</v>
      </c>
      <c r="H137">
        <v>24</v>
      </c>
      <c r="I137">
        <v>1584</v>
      </c>
    </row>
    <row r="138" spans="1:9">
      <c r="A138" t="s">
        <v>151</v>
      </c>
      <c r="B138" t="s">
        <v>16</v>
      </c>
      <c r="C138">
        <v>18609</v>
      </c>
      <c r="D138" s="1">
        <v>45623</v>
      </c>
      <c r="E138" s="1">
        <v>45629</v>
      </c>
      <c r="F138" t="s">
        <v>14</v>
      </c>
      <c r="G138">
        <v>36</v>
      </c>
      <c r="H138">
        <v>56</v>
      </c>
      <c r="I138">
        <v>2016</v>
      </c>
    </row>
    <row r="139" spans="1:9">
      <c r="A139" t="s">
        <v>152</v>
      </c>
      <c r="B139" t="s">
        <v>16</v>
      </c>
      <c r="C139">
        <v>17636</v>
      </c>
      <c r="D139" s="1">
        <v>45616</v>
      </c>
      <c r="E139" s="1">
        <v>45617</v>
      </c>
      <c r="F139" t="s">
        <v>11</v>
      </c>
      <c r="G139">
        <v>64</v>
      </c>
      <c r="H139">
        <v>57</v>
      </c>
      <c r="I139">
        <v>3648</v>
      </c>
    </row>
    <row r="140" spans="1:9">
      <c r="A140" t="s">
        <v>153</v>
      </c>
      <c r="B140" t="s">
        <v>10</v>
      </c>
      <c r="C140">
        <v>9022</v>
      </c>
      <c r="D140" s="1">
        <v>45620</v>
      </c>
      <c r="E140" s="1">
        <v>45622</v>
      </c>
      <c r="F140" t="s">
        <v>11</v>
      </c>
      <c r="G140">
        <v>42</v>
      </c>
      <c r="H140">
        <v>28</v>
      </c>
      <c r="I140">
        <v>1176</v>
      </c>
    </row>
    <row r="141" spans="1:9">
      <c r="A141" t="s">
        <v>154</v>
      </c>
      <c r="B141" t="s">
        <v>16</v>
      </c>
      <c r="C141">
        <v>11151</v>
      </c>
      <c r="D141" s="1">
        <v>45608</v>
      </c>
      <c r="E141" s="1">
        <v>45609</v>
      </c>
      <c r="F141" t="s">
        <v>11</v>
      </c>
      <c r="G141">
        <v>77</v>
      </c>
      <c r="H141">
        <v>72</v>
      </c>
      <c r="I141">
        <v>5544</v>
      </c>
    </row>
    <row r="142" spans="1:9">
      <c r="A142" t="s">
        <v>155</v>
      </c>
      <c r="B142" t="s">
        <v>13</v>
      </c>
      <c r="C142">
        <v>7600</v>
      </c>
      <c r="D142" s="1">
        <v>45614</v>
      </c>
      <c r="E142" s="1">
        <v>45619</v>
      </c>
      <c r="F142" t="s">
        <v>14</v>
      </c>
      <c r="G142">
        <v>95</v>
      </c>
      <c r="H142">
        <v>63</v>
      </c>
      <c r="I142">
        <v>5985</v>
      </c>
    </row>
    <row r="143" spans="1:9">
      <c r="A143" t="s">
        <v>156</v>
      </c>
      <c r="B143" t="s">
        <v>16</v>
      </c>
      <c r="C143">
        <v>9996</v>
      </c>
      <c r="D143" s="1">
        <v>45599</v>
      </c>
      <c r="E143" s="1">
        <v>45608</v>
      </c>
      <c r="F143" t="s">
        <v>14</v>
      </c>
      <c r="G143">
        <v>75</v>
      </c>
      <c r="H143">
        <v>43</v>
      </c>
      <c r="I143">
        <v>3225</v>
      </c>
    </row>
    <row r="144" spans="1:9">
      <c r="A144" t="s">
        <v>157</v>
      </c>
      <c r="B144" t="s">
        <v>13</v>
      </c>
      <c r="C144">
        <v>11007</v>
      </c>
      <c r="D144" s="1">
        <v>45624</v>
      </c>
      <c r="E144" s="1">
        <v>45630</v>
      </c>
      <c r="F144" t="s">
        <v>11</v>
      </c>
      <c r="G144">
        <v>19</v>
      </c>
      <c r="H144">
        <v>93</v>
      </c>
      <c r="I144">
        <v>1767</v>
      </c>
    </row>
    <row r="145" spans="1:9">
      <c r="A145" t="s">
        <v>158</v>
      </c>
      <c r="B145" t="s">
        <v>13</v>
      </c>
      <c r="C145">
        <v>14946</v>
      </c>
      <c r="D145" s="1">
        <v>45597</v>
      </c>
      <c r="E145" s="1">
        <v>45598</v>
      </c>
      <c r="F145" t="s">
        <v>11</v>
      </c>
      <c r="G145">
        <v>14</v>
      </c>
      <c r="H145">
        <v>49</v>
      </c>
      <c r="I145">
        <v>686</v>
      </c>
    </row>
    <row r="146" spans="1:9">
      <c r="A146" t="s">
        <v>159</v>
      </c>
      <c r="B146" t="s">
        <v>13</v>
      </c>
      <c r="C146">
        <v>6642</v>
      </c>
      <c r="D146" s="1">
        <v>45597</v>
      </c>
      <c r="E146" s="1">
        <v>45598</v>
      </c>
      <c r="F146" t="s">
        <v>11</v>
      </c>
      <c r="G146">
        <v>83</v>
      </c>
      <c r="H146">
        <v>78</v>
      </c>
      <c r="I146">
        <v>6474</v>
      </c>
    </row>
    <row r="147" spans="1:9">
      <c r="A147" t="s">
        <v>160</v>
      </c>
      <c r="B147" t="s">
        <v>10</v>
      </c>
      <c r="C147">
        <v>13312</v>
      </c>
      <c r="D147" s="1">
        <v>45625</v>
      </c>
      <c r="E147" s="1">
        <v>45627</v>
      </c>
      <c r="F147" t="s">
        <v>11</v>
      </c>
      <c r="G147">
        <v>47</v>
      </c>
      <c r="H147">
        <v>33</v>
      </c>
      <c r="I147">
        <v>1551</v>
      </c>
    </row>
    <row r="148" spans="1:9">
      <c r="A148" t="s">
        <v>161</v>
      </c>
      <c r="B148" t="s">
        <v>10</v>
      </c>
      <c r="C148">
        <v>9679</v>
      </c>
      <c r="D148" s="1">
        <v>45615</v>
      </c>
      <c r="E148" s="1">
        <v>45624</v>
      </c>
      <c r="F148" t="s">
        <v>14</v>
      </c>
      <c r="G148">
        <v>22</v>
      </c>
      <c r="H148">
        <v>28</v>
      </c>
      <c r="I148">
        <v>616</v>
      </c>
    </row>
    <row r="149" spans="1:9">
      <c r="A149" t="s">
        <v>162</v>
      </c>
      <c r="B149" t="s">
        <v>10</v>
      </c>
      <c r="C149">
        <v>10208</v>
      </c>
      <c r="D149" s="1">
        <v>45607</v>
      </c>
      <c r="E149" s="1">
        <v>45610</v>
      </c>
      <c r="F149" t="s">
        <v>14</v>
      </c>
      <c r="G149">
        <v>40</v>
      </c>
      <c r="H149">
        <v>59</v>
      </c>
      <c r="I149">
        <v>2360</v>
      </c>
    </row>
    <row r="150" spans="1:9">
      <c r="A150" t="s">
        <v>163</v>
      </c>
      <c r="B150" t="s">
        <v>16</v>
      </c>
      <c r="C150">
        <v>12716</v>
      </c>
      <c r="D150" s="1">
        <v>45601</v>
      </c>
      <c r="E150" s="1">
        <v>45602</v>
      </c>
      <c r="F150" t="s">
        <v>14</v>
      </c>
      <c r="G150">
        <v>56</v>
      </c>
      <c r="H150">
        <v>85</v>
      </c>
      <c r="I150">
        <v>4760</v>
      </c>
    </row>
    <row r="151" spans="1:9">
      <c r="A151" t="s">
        <v>164</v>
      </c>
      <c r="B151" t="s">
        <v>13</v>
      </c>
      <c r="C151">
        <v>19453</v>
      </c>
      <c r="D151" s="1">
        <v>45608</v>
      </c>
      <c r="E151" s="1">
        <v>45613</v>
      </c>
      <c r="F151" t="s">
        <v>14</v>
      </c>
      <c r="G151">
        <v>97</v>
      </c>
      <c r="H151">
        <v>44</v>
      </c>
      <c r="I151">
        <v>4268</v>
      </c>
    </row>
    <row r="152" spans="1:9">
      <c r="A152" t="s">
        <v>165</v>
      </c>
      <c r="B152" t="s">
        <v>10</v>
      </c>
      <c r="C152">
        <v>5444</v>
      </c>
      <c r="D152" s="1">
        <v>45599</v>
      </c>
      <c r="E152" s="1">
        <v>45606</v>
      </c>
      <c r="F152" t="s">
        <v>11</v>
      </c>
      <c r="G152">
        <v>61</v>
      </c>
      <c r="H152">
        <v>92</v>
      </c>
      <c r="I152">
        <v>5612</v>
      </c>
    </row>
    <row r="153" spans="1:9">
      <c r="A153" t="s">
        <v>166</v>
      </c>
      <c r="B153" t="s">
        <v>10</v>
      </c>
      <c r="C153">
        <v>12757</v>
      </c>
      <c r="D153" s="1">
        <v>45597</v>
      </c>
      <c r="E153" s="1">
        <v>45603</v>
      </c>
      <c r="F153" t="s">
        <v>11</v>
      </c>
      <c r="G153">
        <v>65</v>
      </c>
      <c r="H153">
        <v>41</v>
      </c>
      <c r="I153">
        <v>2665</v>
      </c>
    </row>
    <row r="154" spans="1:9">
      <c r="A154" t="s">
        <v>167</v>
      </c>
      <c r="B154" t="s">
        <v>16</v>
      </c>
      <c r="C154">
        <v>16434</v>
      </c>
      <c r="D154" s="1">
        <v>45597</v>
      </c>
      <c r="E154" s="1">
        <v>45598</v>
      </c>
      <c r="F154" t="s">
        <v>11</v>
      </c>
      <c r="G154">
        <v>24</v>
      </c>
      <c r="H154">
        <v>23</v>
      </c>
      <c r="I154">
        <v>552</v>
      </c>
    </row>
    <row r="155" spans="1:9">
      <c r="A155" t="s">
        <v>168</v>
      </c>
      <c r="B155" t="s">
        <v>10</v>
      </c>
      <c r="C155">
        <v>3060</v>
      </c>
      <c r="D155" s="1">
        <v>45604</v>
      </c>
      <c r="E155" s="1">
        <v>45609</v>
      </c>
      <c r="F155" t="s">
        <v>14</v>
      </c>
      <c r="G155">
        <v>38</v>
      </c>
      <c r="H155">
        <v>45</v>
      </c>
      <c r="I155">
        <v>1710</v>
      </c>
    </row>
    <row r="156" spans="1:9">
      <c r="A156" t="s">
        <v>169</v>
      </c>
      <c r="B156" t="s">
        <v>16</v>
      </c>
      <c r="C156">
        <v>5420</v>
      </c>
      <c r="D156" s="1">
        <v>45606</v>
      </c>
      <c r="E156" s="1">
        <v>45611</v>
      </c>
      <c r="F156" t="s">
        <v>11</v>
      </c>
      <c r="G156">
        <v>17</v>
      </c>
      <c r="H156">
        <v>77</v>
      </c>
      <c r="I156">
        <v>1309</v>
      </c>
    </row>
    <row r="157" spans="1:9">
      <c r="A157" t="s">
        <v>170</v>
      </c>
      <c r="B157" t="s">
        <v>24</v>
      </c>
      <c r="C157">
        <v>2301</v>
      </c>
      <c r="D157" s="1">
        <v>45607</v>
      </c>
      <c r="E157" s="1">
        <v>45613</v>
      </c>
      <c r="F157" t="s">
        <v>14</v>
      </c>
      <c r="G157">
        <v>14</v>
      </c>
      <c r="H157">
        <v>48</v>
      </c>
      <c r="I157">
        <v>672</v>
      </c>
    </row>
    <row r="158" spans="1:9">
      <c r="A158" t="s">
        <v>171</v>
      </c>
      <c r="B158" t="s">
        <v>10</v>
      </c>
      <c r="C158">
        <v>14468</v>
      </c>
      <c r="D158" s="1">
        <v>45608</v>
      </c>
      <c r="E158" s="1">
        <v>45611</v>
      </c>
      <c r="F158" t="s">
        <v>14</v>
      </c>
      <c r="G158">
        <v>38</v>
      </c>
      <c r="H158">
        <v>56</v>
      </c>
      <c r="I158">
        <v>2128</v>
      </c>
    </row>
    <row r="159" spans="1:9">
      <c r="A159" t="s">
        <v>172</v>
      </c>
      <c r="B159" t="s">
        <v>24</v>
      </c>
      <c r="C159">
        <v>18990</v>
      </c>
      <c r="D159" s="1">
        <v>45625</v>
      </c>
      <c r="E159" s="1">
        <v>45630</v>
      </c>
      <c r="F159" t="s">
        <v>11</v>
      </c>
      <c r="G159">
        <v>56</v>
      </c>
      <c r="H159">
        <v>94</v>
      </c>
      <c r="I159">
        <v>5264</v>
      </c>
    </row>
    <row r="160" spans="1:9">
      <c r="A160" t="s">
        <v>173</v>
      </c>
      <c r="B160" t="s">
        <v>16</v>
      </c>
      <c r="C160">
        <v>2699</v>
      </c>
      <c r="D160" s="1">
        <v>45609</v>
      </c>
      <c r="E160" s="1">
        <v>45616</v>
      </c>
      <c r="F160" t="s">
        <v>11</v>
      </c>
      <c r="G160">
        <v>77</v>
      </c>
      <c r="H160">
        <v>89</v>
      </c>
      <c r="I160">
        <v>6853</v>
      </c>
    </row>
    <row r="161" spans="1:9">
      <c r="A161" t="s">
        <v>174</v>
      </c>
      <c r="B161" t="s">
        <v>13</v>
      </c>
      <c r="C161">
        <v>2190</v>
      </c>
      <c r="D161" s="1">
        <v>45608</v>
      </c>
      <c r="E161" s="1">
        <v>45613</v>
      </c>
      <c r="F161" t="s">
        <v>11</v>
      </c>
      <c r="G161">
        <v>85</v>
      </c>
      <c r="H161">
        <v>37</v>
      </c>
      <c r="I161">
        <v>3145</v>
      </c>
    </row>
    <row r="162" spans="1:9">
      <c r="A162" t="s">
        <v>175</v>
      </c>
      <c r="B162" t="s">
        <v>10</v>
      </c>
      <c r="C162">
        <v>12492</v>
      </c>
      <c r="D162" s="1">
        <v>45610</v>
      </c>
      <c r="E162" s="1">
        <v>45615</v>
      </c>
      <c r="F162" t="s">
        <v>14</v>
      </c>
      <c r="G162">
        <v>54</v>
      </c>
      <c r="H162">
        <v>61</v>
      </c>
      <c r="I162">
        <v>3294</v>
      </c>
    </row>
    <row r="163" spans="1:9">
      <c r="A163" t="s">
        <v>176</v>
      </c>
      <c r="B163" t="s">
        <v>16</v>
      </c>
      <c r="C163">
        <v>19364</v>
      </c>
      <c r="D163" s="1">
        <v>45598</v>
      </c>
      <c r="E163" s="1">
        <v>45603</v>
      </c>
      <c r="F163" t="s">
        <v>11</v>
      </c>
      <c r="G163">
        <v>11</v>
      </c>
      <c r="H163">
        <v>60</v>
      </c>
      <c r="I163">
        <v>660</v>
      </c>
    </row>
    <row r="164" spans="1:9">
      <c r="A164" t="s">
        <v>177</v>
      </c>
      <c r="B164" t="s">
        <v>13</v>
      </c>
      <c r="C164">
        <v>4975</v>
      </c>
      <c r="D164" s="1">
        <v>45625</v>
      </c>
      <c r="E164" s="1">
        <v>45628</v>
      </c>
      <c r="F164" t="s">
        <v>14</v>
      </c>
      <c r="G164">
        <v>36</v>
      </c>
      <c r="H164">
        <v>57</v>
      </c>
      <c r="I164">
        <v>2052</v>
      </c>
    </row>
    <row r="165" spans="1:9">
      <c r="A165" t="s">
        <v>178</v>
      </c>
      <c r="B165" t="s">
        <v>13</v>
      </c>
      <c r="C165">
        <v>8102</v>
      </c>
      <c r="D165" s="1">
        <v>45615</v>
      </c>
      <c r="E165" s="1">
        <v>45616</v>
      </c>
      <c r="F165" t="s">
        <v>11</v>
      </c>
      <c r="G165">
        <v>45</v>
      </c>
      <c r="H165">
        <v>53</v>
      </c>
      <c r="I165">
        <v>2385</v>
      </c>
    </row>
    <row r="166" spans="1:9">
      <c r="A166" t="s">
        <v>179</v>
      </c>
      <c r="B166" t="s">
        <v>24</v>
      </c>
      <c r="C166">
        <v>19568</v>
      </c>
      <c r="D166" s="1">
        <v>45614</v>
      </c>
      <c r="E166" s="1">
        <v>45619</v>
      </c>
      <c r="F166" t="s">
        <v>14</v>
      </c>
      <c r="G166">
        <v>45</v>
      </c>
      <c r="H166">
        <v>36</v>
      </c>
      <c r="I166">
        <v>1620</v>
      </c>
    </row>
    <row r="167" spans="1:9">
      <c r="A167" t="s">
        <v>180</v>
      </c>
      <c r="B167" t="s">
        <v>16</v>
      </c>
      <c r="C167">
        <v>3816</v>
      </c>
      <c r="D167" s="1">
        <v>45599</v>
      </c>
      <c r="E167" s="1">
        <v>45608</v>
      </c>
      <c r="F167" t="s">
        <v>14</v>
      </c>
      <c r="G167">
        <v>35</v>
      </c>
      <c r="H167">
        <v>56</v>
      </c>
      <c r="I167">
        <v>1960</v>
      </c>
    </row>
    <row r="168" spans="1:9">
      <c r="A168" t="s">
        <v>181</v>
      </c>
      <c r="B168" t="s">
        <v>13</v>
      </c>
      <c r="C168">
        <v>2569</v>
      </c>
      <c r="D168" s="1">
        <v>45619</v>
      </c>
      <c r="E168" s="1">
        <v>45620</v>
      </c>
      <c r="F168" t="s">
        <v>11</v>
      </c>
      <c r="G168">
        <v>52</v>
      </c>
      <c r="H168">
        <v>44</v>
      </c>
      <c r="I168">
        <v>2288</v>
      </c>
    </row>
    <row r="169" spans="1:9">
      <c r="A169" t="s">
        <v>182</v>
      </c>
      <c r="B169" t="s">
        <v>10</v>
      </c>
      <c r="C169">
        <v>7442</v>
      </c>
      <c r="D169" s="1">
        <v>45613</v>
      </c>
      <c r="E169" s="1">
        <v>45616</v>
      </c>
      <c r="F169" t="s">
        <v>14</v>
      </c>
      <c r="G169">
        <v>36</v>
      </c>
      <c r="H169">
        <v>95</v>
      </c>
      <c r="I169">
        <v>3420</v>
      </c>
    </row>
    <row r="170" spans="1:9">
      <c r="A170" t="s">
        <v>183</v>
      </c>
      <c r="B170" t="s">
        <v>10</v>
      </c>
      <c r="C170">
        <v>3895</v>
      </c>
      <c r="D170" s="1">
        <v>45622</v>
      </c>
      <c r="E170" s="1">
        <v>45626</v>
      </c>
      <c r="F170" t="s">
        <v>14</v>
      </c>
      <c r="G170">
        <v>78</v>
      </c>
      <c r="H170">
        <v>46</v>
      </c>
      <c r="I170">
        <v>3588</v>
      </c>
    </row>
    <row r="171" spans="1:9">
      <c r="A171" t="s">
        <v>184</v>
      </c>
      <c r="B171" t="s">
        <v>24</v>
      </c>
      <c r="C171">
        <v>5863</v>
      </c>
      <c r="D171" s="1">
        <v>45604</v>
      </c>
      <c r="E171" s="1">
        <v>45605</v>
      </c>
      <c r="F171" t="s">
        <v>11</v>
      </c>
      <c r="G171">
        <v>29</v>
      </c>
      <c r="H171">
        <v>76</v>
      </c>
      <c r="I171">
        <v>2204</v>
      </c>
    </row>
    <row r="172" spans="1:9">
      <c r="A172" t="s">
        <v>185</v>
      </c>
      <c r="B172" t="s">
        <v>13</v>
      </c>
      <c r="C172">
        <v>14913</v>
      </c>
      <c r="D172" s="1">
        <v>45625</v>
      </c>
      <c r="E172" s="1">
        <v>45626</v>
      </c>
      <c r="F172" t="s">
        <v>14</v>
      </c>
      <c r="G172">
        <v>20</v>
      </c>
      <c r="H172">
        <v>50</v>
      </c>
      <c r="I172">
        <v>1000</v>
      </c>
    </row>
    <row r="173" spans="1:9">
      <c r="A173" t="s">
        <v>186</v>
      </c>
      <c r="B173" t="s">
        <v>16</v>
      </c>
      <c r="C173">
        <v>9455</v>
      </c>
      <c r="D173" s="1">
        <v>45622</v>
      </c>
      <c r="E173" s="1">
        <v>45630</v>
      </c>
      <c r="F173" t="s">
        <v>11</v>
      </c>
      <c r="G173">
        <v>83</v>
      </c>
      <c r="H173">
        <v>25</v>
      </c>
      <c r="I173">
        <v>2075</v>
      </c>
    </row>
    <row r="174" spans="1:9">
      <c r="A174" t="s">
        <v>187</v>
      </c>
      <c r="B174" t="s">
        <v>10</v>
      </c>
      <c r="C174">
        <v>6014</v>
      </c>
      <c r="D174" s="1">
        <v>45606</v>
      </c>
      <c r="E174" s="1">
        <v>45608</v>
      </c>
      <c r="F174" t="s">
        <v>14</v>
      </c>
      <c r="G174">
        <v>47</v>
      </c>
      <c r="H174">
        <v>59</v>
      </c>
      <c r="I174">
        <v>2773</v>
      </c>
    </row>
    <row r="175" spans="1:9">
      <c r="A175" t="s">
        <v>188</v>
      </c>
      <c r="B175" t="s">
        <v>13</v>
      </c>
      <c r="C175">
        <v>13093</v>
      </c>
      <c r="D175" s="1">
        <v>45622</v>
      </c>
      <c r="E175" s="1">
        <v>45630</v>
      </c>
      <c r="F175" t="s">
        <v>11</v>
      </c>
      <c r="G175">
        <v>15</v>
      </c>
      <c r="H175">
        <v>31</v>
      </c>
      <c r="I175">
        <v>465</v>
      </c>
    </row>
    <row r="176" spans="1:9">
      <c r="A176" t="s">
        <v>189</v>
      </c>
      <c r="B176" t="s">
        <v>13</v>
      </c>
      <c r="C176">
        <v>5009</v>
      </c>
      <c r="D176" s="1">
        <v>45626</v>
      </c>
      <c r="E176" s="1">
        <v>45633</v>
      </c>
      <c r="F176" t="s">
        <v>11</v>
      </c>
      <c r="G176">
        <v>81</v>
      </c>
      <c r="H176">
        <v>72</v>
      </c>
      <c r="I176">
        <v>5832</v>
      </c>
    </row>
    <row r="177" spans="1:9">
      <c r="A177" t="s">
        <v>190</v>
      </c>
      <c r="B177" t="s">
        <v>24</v>
      </c>
      <c r="C177">
        <v>18538</v>
      </c>
      <c r="D177" s="1">
        <v>45598</v>
      </c>
      <c r="E177" s="1">
        <v>45600</v>
      </c>
      <c r="F177" t="s">
        <v>14</v>
      </c>
      <c r="G177">
        <v>32</v>
      </c>
      <c r="H177">
        <v>90</v>
      </c>
      <c r="I177">
        <v>2880</v>
      </c>
    </row>
    <row r="178" spans="1:9">
      <c r="A178" t="s">
        <v>191</v>
      </c>
      <c r="B178" t="s">
        <v>10</v>
      </c>
      <c r="C178">
        <v>12729</v>
      </c>
      <c r="D178" s="1">
        <v>45615</v>
      </c>
      <c r="E178" s="1">
        <v>45621</v>
      </c>
      <c r="F178" t="s">
        <v>14</v>
      </c>
      <c r="G178">
        <v>56</v>
      </c>
      <c r="H178">
        <v>29</v>
      </c>
      <c r="I178">
        <v>1624</v>
      </c>
    </row>
    <row r="179" spans="1:9">
      <c r="A179" t="s">
        <v>192</v>
      </c>
      <c r="B179" t="s">
        <v>10</v>
      </c>
      <c r="C179">
        <v>3409</v>
      </c>
      <c r="D179" s="1">
        <v>45605</v>
      </c>
      <c r="E179" s="1">
        <v>45611</v>
      </c>
      <c r="F179" t="s">
        <v>14</v>
      </c>
      <c r="G179">
        <v>99</v>
      </c>
      <c r="H179">
        <v>64</v>
      </c>
      <c r="I179">
        <v>6336</v>
      </c>
    </row>
    <row r="180" spans="1:9">
      <c r="A180" t="s">
        <v>193</v>
      </c>
      <c r="B180" t="s">
        <v>16</v>
      </c>
      <c r="C180">
        <v>14249</v>
      </c>
      <c r="D180" s="1">
        <v>45603</v>
      </c>
      <c r="E180" s="1">
        <v>45606</v>
      </c>
      <c r="F180" t="s">
        <v>14</v>
      </c>
      <c r="G180">
        <v>55</v>
      </c>
      <c r="H180">
        <v>36</v>
      </c>
      <c r="I180">
        <v>1980</v>
      </c>
    </row>
    <row r="181" spans="1:9">
      <c r="A181" t="s">
        <v>194</v>
      </c>
      <c r="B181" t="s">
        <v>10</v>
      </c>
      <c r="C181">
        <v>2784</v>
      </c>
      <c r="D181" s="1">
        <v>45600</v>
      </c>
      <c r="E181" s="1">
        <v>45602</v>
      </c>
      <c r="F181" t="s">
        <v>14</v>
      </c>
      <c r="G181">
        <v>21</v>
      </c>
      <c r="H181">
        <v>45</v>
      </c>
      <c r="I181">
        <v>945</v>
      </c>
    </row>
    <row r="182" spans="1:9">
      <c r="A182" t="s">
        <v>195</v>
      </c>
      <c r="B182" t="s">
        <v>16</v>
      </c>
      <c r="C182">
        <v>10096</v>
      </c>
      <c r="D182" s="1">
        <v>45622</v>
      </c>
      <c r="E182" s="1">
        <v>45623</v>
      </c>
      <c r="F182" t="s">
        <v>11</v>
      </c>
      <c r="G182">
        <v>99</v>
      </c>
      <c r="H182">
        <v>81</v>
      </c>
      <c r="I182">
        <v>8019</v>
      </c>
    </row>
    <row r="183" spans="1:9">
      <c r="A183" t="s">
        <v>196</v>
      </c>
      <c r="B183" t="s">
        <v>10</v>
      </c>
      <c r="C183">
        <v>9560</v>
      </c>
      <c r="D183" s="1">
        <v>45617</v>
      </c>
      <c r="E183" s="1">
        <v>45623</v>
      </c>
      <c r="F183" t="s">
        <v>14</v>
      </c>
      <c r="G183">
        <v>22</v>
      </c>
      <c r="H183">
        <v>65</v>
      </c>
      <c r="I183">
        <v>1430</v>
      </c>
    </row>
    <row r="184" spans="1:9">
      <c r="A184" t="s">
        <v>197</v>
      </c>
      <c r="B184" t="s">
        <v>24</v>
      </c>
      <c r="C184">
        <v>14533</v>
      </c>
      <c r="D184" s="1">
        <v>45614</v>
      </c>
      <c r="E184" s="1">
        <v>45619</v>
      </c>
      <c r="F184" t="s">
        <v>11</v>
      </c>
      <c r="G184">
        <v>71</v>
      </c>
      <c r="H184">
        <v>83</v>
      </c>
      <c r="I184">
        <v>5893</v>
      </c>
    </row>
    <row r="185" spans="1:9">
      <c r="A185" t="s">
        <v>198</v>
      </c>
      <c r="B185" t="s">
        <v>10</v>
      </c>
      <c r="C185">
        <v>9343</v>
      </c>
      <c r="D185" s="1">
        <v>45609</v>
      </c>
      <c r="E185" s="1">
        <v>45618</v>
      </c>
      <c r="F185" t="s">
        <v>11</v>
      </c>
      <c r="G185">
        <v>91</v>
      </c>
      <c r="H185">
        <v>21</v>
      </c>
      <c r="I185">
        <v>1911</v>
      </c>
    </row>
    <row r="186" spans="1:9">
      <c r="A186" t="s">
        <v>199</v>
      </c>
      <c r="B186" t="s">
        <v>16</v>
      </c>
      <c r="C186">
        <v>9206</v>
      </c>
      <c r="D186" s="1">
        <v>45607</v>
      </c>
      <c r="E186" s="1">
        <v>45608</v>
      </c>
      <c r="F186" t="s">
        <v>14</v>
      </c>
      <c r="G186">
        <v>98</v>
      </c>
      <c r="H186">
        <v>73</v>
      </c>
      <c r="I186">
        <v>7154</v>
      </c>
    </row>
    <row r="187" spans="1:9">
      <c r="A187" t="s">
        <v>200</v>
      </c>
      <c r="B187" t="s">
        <v>16</v>
      </c>
      <c r="C187">
        <v>7801</v>
      </c>
      <c r="D187" s="1">
        <v>45625</v>
      </c>
      <c r="E187" s="1">
        <v>45632</v>
      </c>
      <c r="F187" t="s">
        <v>11</v>
      </c>
      <c r="G187">
        <v>69</v>
      </c>
      <c r="H187">
        <v>84</v>
      </c>
      <c r="I187">
        <v>5796</v>
      </c>
    </row>
    <row r="188" spans="1:9">
      <c r="A188" t="s">
        <v>201</v>
      </c>
      <c r="B188" t="s">
        <v>24</v>
      </c>
      <c r="C188">
        <v>18921</v>
      </c>
      <c r="D188" s="1">
        <v>45620</v>
      </c>
      <c r="E188" s="1">
        <v>45625</v>
      </c>
      <c r="F188" t="s">
        <v>11</v>
      </c>
      <c r="G188">
        <v>52</v>
      </c>
      <c r="H188">
        <v>70</v>
      </c>
      <c r="I188">
        <v>3640</v>
      </c>
    </row>
    <row r="189" spans="1:9">
      <c r="A189" t="s">
        <v>202</v>
      </c>
      <c r="B189" t="s">
        <v>10</v>
      </c>
      <c r="C189">
        <v>7986</v>
      </c>
      <c r="D189" s="1">
        <v>45600</v>
      </c>
      <c r="E189" s="1">
        <v>45605</v>
      </c>
      <c r="F189" t="s">
        <v>11</v>
      </c>
      <c r="G189">
        <v>85</v>
      </c>
      <c r="H189">
        <v>72</v>
      </c>
      <c r="I189">
        <v>6120</v>
      </c>
    </row>
    <row r="190" spans="1:9">
      <c r="A190" t="s">
        <v>203</v>
      </c>
      <c r="B190" t="s">
        <v>10</v>
      </c>
      <c r="C190">
        <v>12647</v>
      </c>
      <c r="D190" s="1">
        <v>45621</v>
      </c>
      <c r="E190" s="1">
        <v>45623</v>
      </c>
      <c r="F190" t="s">
        <v>11</v>
      </c>
      <c r="G190">
        <v>77</v>
      </c>
      <c r="H190">
        <v>55</v>
      </c>
      <c r="I190">
        <v>4235</v>
      </c>
    </row>
    <row r="191" spans="1:9">
      <c r="A191" t="s">
        <v>204</v>
      </c>
      <c r="B191" t="s">
        <v>24</v>
      </c>
      <c r="C191">
        <v>10716</v>
      </c>
      <c r="D191" s="1">
        <v>45617</v>
      </c>
      <c r="E191" s="1">
        <v>45620</v>
      </c>
      <c r="F191" t="s">
        <v>14</v>
      </c>
      <c r="G191">
        <v>14</v>
      </c>
      <c r="H191">
        <v>45</v>
      </c>
      <c r="I191">
        <v>630</v>
      </c>
    </row>
    <row r="192" spans="1:9">
      <c r="A192" t="s">
        <v>205</v>
      </c>
      <c r="B192" t="s">
        <v>10</v>
      </c>
      <c r="C192">
        <v>14323</v>
      </c>
      <c r="D192" s="1">
        <v>45625</v>
      </c>
      <c r="E192" s="1">
        <v>45632</v>
      </c>
      <c r="F192" t="s">
        <v>11</v>
      </c>
      <c r="G192">
        <v>46</v>
      </c>
      <c r="H192">
        <v>48</v>
      </c>
      <c r="I192">
        <v>2208</v>
      </c>
    </row>
    <row r="193" spans="1:9">
      <c r="A193" t="s">
        <v>206</v>
      </c>
      <c r="B193" t="s">
        <v>10</v>
      </c>
      <c r="C193">
        <v>6780</v>
      </c>
      <c r="D193" s="1">
        <v>45621</v>
      </c>
      <c r="E193" s="1">
        <v>45627</v>
      </c>
      <c r="F193" t="s">
        <v>14</v>
      </c>
      <c r="G193">
        <v>81</v>
      </c>
      <c r="H193">
        <v>40</v>
      </c>
      <c r="I193">
        <v>3240</v>
      </c>
    </row>
    <row r="194" spans="1:9">
      <c r="A194" t="s">
        <v>207</v>
      </c>
      <c r="B194" t="s">
        <v>16</v>
      </c>
      <c r="C194">
        <v>4368</v>
      </c>
      <c r="D194" s="1">
        <v>45600</v>
      </c>
      <c r="E194" s="1">
        <v>45602</v>
      </c>
      <c r="F194" t="s">
        <v>14</v>
      </c>
      <c r="G194">
        <v>40</v>
      </c>
      <c r="H194">
        <v>30</v>
      </c>
      <c r="I194">
        <v>1200</v>
      </c>
    </row>
    <row r="195" spans="1:9">
      <c r="A195" t="s">
        <v>208</v>
      </c>
      <c r="B195" t="s">
        <v>10</v>
      </c>
      <c r="C195">
        <v>14039</v>
      </c>
      <c r="D195" s="1">
        <v>45606</v>
      </c>
      <c r="E195" s="1">
        <v>45612</v>
      </c>
      <c r="F195" t="s">
        <v>11</v>
      </c>
      <c r="G195">
        <v>18</v>
      </c>
      <c r="H195">
        <v>59</v>
      </c>
      <c r="I195">
        <v>1062</v>
      </c>
    </row>
    <row r="196" spans="1:9">
      <c r="A196" t="s">
        <v>209</v>
      </c>
      <c r="B196" t="s">
        <v>10</v>
      </c>
      <c r="C196">
        <v>8655</v>
      </c>
      <c r="D196" s="1">
        <v>45601</v>
      </c>
      <c r="E196" s="1">
        <v>45603</v>
      </c>
      <c r="F196" t="s">
        <v>14</v>
      </c>
      <c r="G196">
        <v>60</v>
      </c>
      <c r="H196">
        <v>30</v>
      </c>
      <c r="I196">
        <v>1800</v>
      </c>
    </row>
    <row r="197" spans="1:9">
      <c r="A197" t="s">
        <v>210</v>
      </c>
      <c r="B197" t="s">
        <v>24</v>
      </c>
      <c r="C197">
        <v>10173</v>
      </c>
      <c r="D197" s="1">
        <v>45605</v>
      </c>
      <c r="E197" s="1">
        <v>45607</v>
      </c>
      <c r="F197" t="s">
        <v>14</v>
      </c>
      <c r="G197">
        <v>38</v>
      </c>
      <c r="H197">
        <v>55</v>
      </c>
      <c r="I197">
        <v>2090</v>
      </c>
    </row>
    <row r="198" spans="1:9">
      <c r="A198" t="s">
        <v>211</v>
      </c>
      <c r="B198" t="s">
        <v>24</v>
      </c>
      <c r="C198">
        <v>6495</v>
      </c>
      <c r="D198" s="1">
        <v>45620</v>
      </c>
      <c r="E198" s="1">
        <v>45622</v>
      </c>
      <c r="F198" t="s">
        <v>14</v>
      </c>
      <c r="G198">
        <v>87</v>
      </c>
      <c r="H198">
        <v>78</v>
      </c>
      <c r="I198">
        <v>6786</v>
      </c>
    </row>
    <row r="199" spans="1:9">
      <c r="A199" t="s">
        <v>212</v>
      </c>
      <c r="B199" t="s">
        <v>13</v>
      </c>
      <c r="C199">
        <v>12893</v>
      </c>
      <c r="D199" s="1">
        <v>45599</v>
      </c>
      <c r="E199" s="1">
        <v>45602</v>
      </c>
      <c r="F199" t="s">
        <v>11</v>
      </c>
      <c r="G199">
        <v>49</v>
      </c>
      <c r="H199">
        <v>58</v>
      </c>
      <c r="I199">
        <v>2842</v>
      </c>
    </row>
    <row r="200" spans="1:9">
      <c r="A200" t="s">
        <v>213</v>
      </c>
      <c r="B200" t="s">
        <v>16</v>
      </c>
      <c r="C200">
        <v>15403</v>
      </c>
      <c r="D200" s="1">
        <v>45613</v>
      </c>
      <c r="E200" s="1">
        <v>45615</v>
      </c>
      <c r="F200" t="s">
        <v>14</v>
      </c>
      <c r="G200">
        <v>50</v>
      </c>
      <c r="H200">
        <v>73</v>
      </c>
      <c r="I200">
        <v>3650</v>
      </c>
    </row>
    <row r="201" spans="1:9">
      <c r="A201" t="s">
        <v>214</v>
      </c>
      <c r="B201" t="s">
        <v>10</v>
      </c>
      <c r="C201">
        <v>15121</v>
      </c>
      <c r="D201" s="1">
        <v>45599</v>
      </c>
      <c r="E201" s="1">
        <v>45603</v>
      </c>
      <c r="F201" t="s">
        <v>14</v>
      </c>
      <c r="G201">
        <v>95</v>
      </c>
      <c r="H201">
        <v>74</v>
      </c>
      <c r="I201">
        <v>7030</v>
      </c>
    </row>
  </sheetData>
  <sheetProtection sheet="1" objects="1" scenarios="1"/>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C2C2-7F7A-4189-926C-B001639FD94C}">
  <dimension ref="A1:F8"/>
  <sheetViews>
    <sheetView tabSelected="1" zoomScale="70" zoomScaleNormal="70" workbookViewId="0">
      <pane ySplit="1" topLeftCell="A2" activePane="bottomLeft" state="frozen"/>
      <selection pane="bottomLeft" activeCell="B11" sqref="B11"/>
    </sheetView>
  </sheetViews>
  <sheetFormatPr defaultRowHeight="14.5"/>
  <cols>
    <col min="1" max="1" width="16.1796875" bestFit="1" customWidth="1"/>
    <col min="2" max="2" width="41.81640625" style="9" bestFit="1" customWidth="1"/>
    <col min="3" max="3" width="28.90625" style="3" bestFit="1" customWidth="1"/>
    <col min="4" max="4" width="20.90625" style="3" bestFit="1" customWidth="1"/>
    <col min="5" max="5" width="74.81640625" style="3" bestFit="1" customWidth="1"/>
    <col min="6" max="6" width="58.54296875" style="3" bestFit="1" customWidth="1"/>
  </cols>
  <sheetData>
    <row r="1" spans="1:6" ht="18.5">
      <c r="A1" s="7" t="s">
        <v>218</v>
      </c>
      <c r="B1" s="8" t="s">
        <v>215</v>
      </c>
      <c r="C1" s="8" t="s">
        <v>216</v>
      </c>
      <c r="D1" s="8" t="s">
        <v>217</v>
      </c>
      <c r="E1" s="8" t="s">
        <v>220</v>
      </c>
      <c r="F1" s="8" t="s">
        <v>228</v>
      </c>
    </row>
    <row r="2" spans="1:6" ht="29">
      <c r="A2" s="3">
        <v>1</v>
      </c>
      <c r="B2" s="6" t="s">
        <v>219</v>
      </c>
      <c r="C2" s="3" t="s">
        <v>239</v>
      </c>
      <c r="D2" s="14">
        <f>SUMIF(Emp_Sales_Raw_Data[Department],"Sales",Emp_Sales_Raw_Data[Revenue])</f>
        <v>140068</v>
      </c>
      <c r="E2" s="3" t="str">
        <f ca="1">_xlfn.FORMULATEXT(D2)</f>
        <v>=SUMIF(Emp_Sales_Raw_Data[Department],"Sales",Emp_Sales_Raw_Data[Revenue])</v>
      </c>
      <c r="F2" s="4" t="s">
        <v>229</v>
      </c>
    </row>
    <row r="3" spans="1:6" ht="29">
      <c r="A3" s="3">
        <v>2</v>
      </c>
      <c r="B3" s="6" t="s">
        <v>221</v>
      </c>
      <c r="C3" s="4" t="s">
        <v>222</v>
      </c>
      <c r="D3" s="13">
        <f>SUMIF(Emp_Sales_Raw_Data[Status],"Completed",Emp_Sales_Raw_Data[Revenue])</f>
        <v>316742</v>
      </c>
      <c r="E3" s="3" t="str">
        <f ca="1">_xlfn.FORMULATEXT(D3)</f>
        <v>=SUMIF(Emp_Sales_Raw_Data[Status],"Completed",Emp_Sales_Raw_Data[Revenue])</v>
      </c>
      <c r="F3" s="4" t="s">
        <v>229</v>
      </c>
    </row>
    <row r="4" spans="1:6" ht="29">
      <c r="A4" s="3">
        <v>3</v>
      </c>
      <c r="B4" s="6" t="s">
        <v>223</v>
      </c>
      <c r="C4" s="4" t="s">
        <v>238</v>
      </c>
      <c r="D4" s="13">
        <f>MAX(Emp_Sales_Raw_Data[Revenue])</f>
        <v>8918</v>
      </c>
      <c r="E4" s="3" t="str">
        <f ca="1">_xlfn.FORMULATEXT(D4)</f>
        <v>=MAX(Emp_Sales_Raw_Data[Revenue])</v>
      </c>
      <c r="F4" s="4" t="s">
        <v>229</v>
      </c>
    </row>
    <row r="5" spans="1:6" ht="29">
      <c r="A5" s="3">
        <v>4</v>
      </c>
      <c r="B5" s="6" t="s">
        <v>224</v>
      </c>
      <c r="C5" s="4" t="s">
        <v>225</v>
      </c>
      <c r="D5" s="12">
        <f>AVERAGE(Emp_Sales_Raw_Data[Quantity Sold])</f>
        <v>51.32</v>
      </c>
      <c r="E5" s="3" t="str">
        <f ca="1">_xlfn.FORMULATEXT(D5)</f>
        <v>=AVERAGE(Emp_Sales_Raw_Data[Quantity Sold])</v>
      </c>
      <c r="F5" s="4" t="s">
        <v>229</v>
      </c>
    </row>
    <row r="6" spans="1:6">
      <c r="A6" s="3">
        <v>5</v>
      </c>
      <c r="B6" s="10" t="s">
        <v>227</v>
      </c>
      <c r="C6" s="4" t="s">
        <v>226</v>
      </c>
      <c r="D6" s="11">
        <f>MIN(Emp_Sales_Raw_Data[Order Date])</f>
        <v>45597</v>
      </c>
      <c r="E6" s="3" t="str">
        <f ca="1">_xlfn.FORMULATEXT(D6)</f>
        <v>=MIN(Emp_Sales_Raw_Data[Order Date])</v>
      </c>
      <c r="F6" s="4" t="s">
        <v>230</v>
      </c>
    </row>
    <row r="7" spans="1:6" ht="29">
      <c r="A7" s="3"/>
      <c r="B7" s="5" t="s">
        <v>231</v>
      </c>
      <c r="C7" s="4" t="s">
        <v>232</v>
      </c>
      <c r="D7" s="13">
        <f>COUNTIF(Emp_Sales_Raw_Data[Department],"HR")</f>
        <v>54</v>
      </c>
      <c r="E7" s="3" t="str">
        <f ca="1">_xlfn.FORMULATEXT(D7)</f>
        <v>=COUNTIF(Emp_Sales_Raw_Data[Department],"HR")</v>
      </c>
      <c r="F7" s="4" t="s">
        <v>229</v>
      </c>
    </row>
    <row r="8" spans="1:6" ht="29">
      <c r="A8" s="3">
        <v>6</v>
      </c>
      <c r="B8" s="6" t="s">
        <v>233</v>
      </c>
      <c r="C8" s="2" t="s">
        <v>234</v>
      </c>
      <c r="D8" s="13" cm="1">
        <f t="array" ref="D8">MAX(Emp_Sales_Raw_Data[Delivery Date] -Emp_Sales_Raw_Data[Order Date])</f>
        <v>9</v>
      </c>
      <c r="E8" s="3" t="str">
        <f ca="1">_xlfn.FORMULATEXT(D8)</f>
        <v>=MAX(Emp_Sales_Raw_Data[Delivery Date] -Emp_Sales_Raw_Data[Order Date])</v>
      </c>
      <c r="F8" s="4" t="s">
        <v>229</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882B9-DC53-446C-A622-65488A712622}">
  <dimension ref="A1:H7"/>
  <sheetViews>
    <sheetView zoomScale="85" zoomScaleNormal="85" workbookViewId="0">
      <selection activeCell="H14" sqref="H14"/>
    </sheetView>
  </sheetViews>
  <sheetFormatPr defaultRowHeight="14.5"/>
  <cols>
    <col min="1" max="1" width="13.1796875" bestFit="1" customWidth="1"/>
    <col min="2" max="2" width="22.6328125" bestFit="1" customWidth="1"/>
    <col min="4" max="4" width="13.1796875" bestFit="1" customWidth="1"/>
    <col min="5" max="5" width="14.7265625" bestFit="1" customWidth="1"/>
    <col min="7" max="7" width="14.54296875" bestFit="1" customWidth="1"/>
    <col min="8" max="8" width="14.7265625" bestFit="1" customWidth="1"/>
    <col min="10" max="10" width="12.36328125" bestFit="1" customWidth="1"/>
    <col min="11" max="11" width="20.08984375" bestFit="1" customWidth="1"/>
  </cols>
  <sheetData>
    <row r="1" spans="1:8">
      <c r="A1" s="15" t="s">
        <v>235</v>
      </c>
      <c r="B1" t="s">
        <v>240</v>
      </c>
      <c r="D1" s="15" t="s">
        <v>235</v>
      </c>
      <c r="E1" t="s">
        <v>237</v>
      </c>
      <c r="G1" s="15" t="s">
        <v>235</v>
      </c>
      <c r="H1" t="s">
        <v>237</v>
      </c>
    </row>
    <row r="2" spans="1:8">
      <c r="A2" s="16" t="s">
        <v>24</v>
      </c>
      <c r="B2" s="17">
        <v>46</v>
      </c>
      <c r="D2" s="16" t="s">
        <v>24</v>
      </c>
      <c r="E2" s="17">
        <v>150548</v>
      </c>
      <c r="G2" s="16" t="s">
        <v>34</v>
      </c>
      <c r="H2" s="17">
        <v>8184</v>
      </c>
    </row>
    <row r="3" spans="1:8">
      <c r="A3" s="16" t="s">
        <v>13</v>
      </c>
      <c r="B3" s="17">
        <v>54</v>
      </c>
      <c r="D3" s="16" t="s">
        <v>13</v>
      </c>
      <c r="E3" s="17">
        <v>153906</v>
      </c>
      <c r="G3" s="16" t="s">
        <v>113</v>
      </c>
      <c r="H3" s="17">
        <v>8918</v>
      </c>
    </row>
    <row r="4" spans="1:8">
      <c r="A4" s="16" t="s">
        <v>10</v>
      </c>
      <c r="B4" s="17">
        <v>54</v>
      </c>
      <c r="D4" s="16" t="s">
        <v>10</v>
      </c>
      <c r="E4" s="17">
        <v>146610</v>
      </c>
      <c r="G4" s="16" t="s">
        <v>88</v>
      </c>
      <c r="H4" s="17">
        <v>8148</v>
      </c>
    </row>
    <row r="5" spans="1:8">
      <c r="A5" s="16" t="s">
        <v>16</v>
      </c>
      <c r="B5" s="17">
        <v>46</v>
      </c>
      <c r="D5" s="16" t="s">
        <v>16</v>
      </c>
      <c r="E5" s="17">
        <v>140068</v>
      </c>
      <c r="G5" s="16" t="s">
        <v>115</v>
      </c>
      <c r="H5" s="17">
        <v>8428</v>
      </c>
    </row>
    <row r="6" spans="1:8">
      <c r="A6" s="16" t="s">
        <v>236</v>
      </c>
      <c r="B6" s="17">
        <v>200</v>
      </c>
      <c r="D6" s="16" t="s">
        <v>236</v>
      </c>
      <c r="E6" s="17">
        <v>591132</v>
      </c>
      <c r="G6" s="16" t="s">
        <v>71</v>
      </c>
      <c r="H6" s="17">
        <v>8370</v>
      </c>
    </row>
    <row r="7" spans="1:8">
      <c r="G7" s="16" t="s">
        <v>236</v>
      </c>
      <c r="H7" s="17">
        <v>42048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76644-AED8-496E-A435-D4B9B272E979}">
  <dimension ref="A1:AU48"/>
  <sheetViews>
    <sheetView showGridLines="0" zoomScale="40" zoomScaleNormal="40" workbookViewId="0">
      <selection sqref="A1:AU48"/>
    </sheetView>
  </sheetViews>
  <sheetFormatPr defaultRowHeight="14.5"/>
  <sheetData>
    <row r="1" spans="1:47" ht="15" thickBot="1">
      <c r="A1" s="23"/>
      <c r="B1" s="23"/>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row>
    <row r="2" spans="1:47">
      <c r="A2" s="18"/>
      <c r="B2" s="20"/>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Q2" s="21"/>
      <c r="AR2" s="21"/>
      <c r="AS2" s="21"/>
      <c r="AT2" s="22"/>
      <c r="AU2" s="18"/>
    </row>
    <row r="3" spans="1:47">
      <c r="A3" s="18"/>
      <c r="B3" s="19"/>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4"/>
      <c r="AU3" s="18"/>
    </row>
    <row r="4" spans="1:47">
      <c r="A4" s="18"/>
      <c r="B4" s="19"/>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3"/>
      <c r="AO4" s="23"/>
      <c r="AP4" s="23"/>
      <c r="AQ4" s="23"/>
      <c r="AR4" s="23"/>
      <c r="AS4" s="23"/>
      <c r="AT4" s="24"/>
      <c r="AU4" s="18"/>
    </row>
    <row r="5" spans="1:47">
      <c r="A5" s="18"/>
      <c r="B5" s="19"/>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c r="AT5" s="24"/>
      <c r="AU5" s="18"/>
    </row>
    <row r="6" spans="1:47">
      <c r="A6" s="18"/>
      <c r="B6" s="19"/>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4"/>
      <c r="AU6" s="18"/>
    </row>
    <row r="7" spans="1:47">
      <c r="A7" s="18"/>
      <c r="B7" s="19"/>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4"/>
      <c r="AU7" s="18"/>
    </row>
    <row r="8" spans="1:47">
      <c r="A8" s="18"/>
      <c r="B8" s="19"/>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4"/>
      <c r="AU8" s="18"/>
    </row>
    <row r="9" spans="1:47">
      <c r="A9" s="18"/>
      <c r="B9" s="19"/>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4"/>
      <c r="AU9" s="18"/>
    </row>
    <row r="10" spans="1:47">
      <c r="A10" s="18"/>
      <c r="B10" s="19"/>
      <c r="C10" s="23"/>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4"/>
      <c r="AU10" s="18"/>
    </row>
    <row r="11" spans="1:47">
      <c r="A11" s="18"/>
      <c r="B11" s="19"/>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4"/>
      <c r="AU11" s="18"/>
    </row>
    <row r="12" spans="1:47">
      <c r="A12" s="18"/>
      <c r="B12" s="19"/>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4"/>
      <c r="AU12" s="18"/>
    </row>
    <row r="13" spans="1:47">
      <c r="A13" s="18"/>
      <c r="B13" s="19"/>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4"/>
      <c r="AU13" s="18"/>
    </row>
    <row r="14" spans="1:47">
      <c r="A14" s="18"/>
      <c r="B14" s="19"/>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4"/>
      <c r="AU14" s="18"/>
    </row>
    <row r="15" spans="1:47">
      <c r="A15" s="18"/>
      <c r="B15" s="19"/>
      <c r="C15" s="23"/>
      <c r="D15" s="23"/>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4"/>
      <c r="AU15" s="18"/>
    </row>
    <row r="16" spans="1:47">
      <c r="A16" s="18"/>
      <c r="B16" s="19"/>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4"/>
      <c r="AU16" s="18"/>
    </row>
    <row r="17" spans="1:47">
      <c r="A17" s="18"/>
      <c r="B17" s="19"/>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4"/>
      <c r="AU17" s="18"/>
    </row>
    <row r="18" spans="1:47">
      <c r="A18" s="18"/>
      <c r="B18" s="19"/>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4"/>
      <c r="AU18" s="18"/>
    </row>
    <row r="19" spans="1:47">
      <c r="A19" s="18"/>
      <c r="B19" s="19"/>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4"/>
      <c r="AU19" s="18"/>
    </row>
    <row r="20" spans="1:47">
      <c r="A20" s="18"/>
      <c r="B20" s="19"/>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4"/>
      <c r="AU20" s="18"/>
    </row>
    <row r="21" spans="1:47">
      <c r="A21" s="18"/>
      <c r="B21" s="19"/>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4"/>
      <c r="AU21" s="18"/>
    </row>
    <row r="22" spans="1:47">
      <c r="A22" s="18"/>
      <c r="B22" s="19"/>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4"/>
      <c r="AU22" s="18"/>
    </row>
    <row r="23" spans="1:47">
      <c r="A23" s="18"/>
      <c r="B23" s="19"/>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4"/>
      <c r="AU23" s="18"/>
    </row>
    <row r="24" spans="1:47">
      <c r="A24" s="18"/>
      <c r="B24" s="19"/>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4"/>
      <c r="AU24" s="18"/>
    </row>
    <row r="25" spans="1:47">
      <c r="A25" s="18"/>
      <c r="B25" s="19"/>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4"/>
      <c r="AU25" s="18"/>
    </row>
    <row r="26" spans="1:47">
      <c r="A26" s="18"/>
      <c r="B26" s="19"/>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4"/>
      <c r="AU26" s="18"/>
    </row>
    <row r="27" spans="1:47">
      <c r="A27" s="18"/>
      <c r="B27" s="19"/>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4"/>
      <c r="AU27" s="18"/>
    </row>
    <row r="28" spans="1:47">
      <c r="A28" s="18"/>
      <c r="B28" s="19"/>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4"/>
      <c r="AU28" s="18"/>
    </row>
    <row r="29" spans="1:47">
      <c r="A29" s="18"/>
      <c r="B29" s="19"/>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4"/>
      <c r="AU29" s="18"/>
    </row>
    <row r="30" spans="1:47">
      <c r="A30" s="18"/>
      <c r="B30" s="19"/>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4"/>
      <c r="AU30" s="18"/>
    </row>
    <row r="31" spans="1:47">
      <c r="A31" s="18"/>
      <c r="B31" s="19"/>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4"/>
      <c r="AU31" s="18"/>
    </row>
    <row r="32" spans="1:47">
      <c r="A32" s="18"/>
      <c r="B32" s="19"/>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4"/>
      <c r="AU32" s="18"/>
    </row>
    <row r="33" spans="1:47" ht="26">
      <c r="A33" s="18"/>
      <c r="B33" s="19"/>
      <c r="C33" s="23"/>
      <c r="D33" s="23"/>
      <c r="E33" s="23"/>
      <c r="F33" s="23"/>
      <c r="G33" s="23"/>
      <c r="H33" s="23"/>
      <c r="I33" s="23"/>
      <c r="J33" s="23"/>
      <c r="K33" s="23"/>
      <c r="L33" s="23"/>
      <c r="M33" s="23"/>
      <c r="N33" s="23"/>
      <c r="O33" s="23"/>
      <c r="P33" s="23"/>
      <c r="Q33" s="23"/>
      <c r="R33" s="23"/>
      <c r="S33" s="28"/>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4"/>
      <c r="AU33" s="18"/>
    </row>
    <row r="34" spans="1:47">
      <c r="A34" s="18"/>
      <c r="B34" s="19"/>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4"/>
      <c r="AU34" s="18"/>
    </row>
    <row r="35" spans="1:47">
      <c r="A35" s="18"/>
      <c r="B35" s="19"/>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4"/>
      <c r="AU35" s="18"/>
    </row>
    <row r="36" spans="1:47">
      <c r="A36" s="18"/>
      <c r="B36" s="19"/>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4"/>
      <c r="AU36" s="18"/>
    </row>
    <row r="37" spans="1:47">
      <c r="A37" s="18"/>
      <c r="B37" s="19"/>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4"/>
      <c r="AU37" s="18"/>
    </row>
    <row r="38" spans="1:47">
      <c r="A38" s="18"/>
      <c r="B38" s="19"/>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4"/>
      <c r="AU38" s="18"/>
    </row>
    <row r="39" spans="1:47">
      <c r="A39" s="18"/>
      <c r="B39" s="19"/>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4"/>
      <c r="AU39" s="18"/>
    </row>
    <row r="40" spans="1:47">
      <c r="A40" s="18"/>
      <c r="B40" s="19"/>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4"/>
      <c r="AU40" s="18"/>
    </row>
    <row r="41" spans="1:47">
      <c r="A41" s="18"/>
      <c r="B41" s="19"/>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4"/>
      <c r="AU41" s="18"/>
    </row>
    <row r="42" spans="1:47">
      <c r="A42" s="18"/>
      <c r="B42" s="19"/>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4"/>
      <c r="AU42" s="18"/>
    </row>
    <row r="43" spans="1:47">
      <c r="A43" s="18"/>
      <c r="B43" s="19"/>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4"/>
      <c r="AU43" s="18"/>
    </row>
    <row r="44" spans="1:47">
      <c r="A44" s="18"/>
      <c r="B44" s="19"/>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4"/>
      <c r="AU44" s="18"/>
    </row>
    <row r="45" spans="1:47">
      <c r="A45" s="18"/>
      <c r="B45" s="19"/>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4"/>
      <c r="AU45" s="18"/>
    </row>
    <row r="46" spans="1:47">
      <c r="A46" s="18"/>
      <c r="B46" s="19"/>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4"/>
      <c r="AU46" s="18"/>
    </row>
    <row r="47" spans="1:47" ht="15" thickBot="1">
      <c r="A47" s="18"/>
      <c r="B47" s="25"/>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7"/>
      <c r="AU47" s="18"/>
    </row>
    <row r="48" spans="1:47">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row>
  </sheetData>
  <sheetProtection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3874C-9E98-4C2B-A5F7-7367E0B18E3F}">
  <dimension ref="A1"/>
  <sheetViews>
    <sheetView zoomScale="40" zoomScaleNormal="40" workbookViewId="0">
      <selection activeCell="AV25" sqref="AV25"/>
    </sheetView>
  </sheetViews>
  <sheetFormatPr defaultRowHeight="14.5"/>
  <sheetData/>
  <sheetProtection sheet="1" objects="1" scenarios="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Calculations</vt:lpstr>
      <vt:lpstr>Pivot Table</vt:lpstr>
      <vt:lpstr>Dashboard</vt:lpstr>
      <vt:lpstr>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MISRA</dc:creator>
  <cp:lastModifiedBy>KARTHIK MISRA</cp:lastModifiedBy>
  <dcterms:created xsi:type="dcterms:W3CDTF">2026-08-19T12:27:34Z</dcterms:created>
  <dcterms:modified xsi:type="dcterms:W3CDTF">2026-08-19T20:48:16Z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2E1CE449ED224749A5C87BD84A7A928C_13</vt:lpwstr>
  </property>
  <property fmtid="{D5CDD505-2E9C-101B-9397-08002B2CF9AE}" pid="3" name="KSOProductBuildVer">
    <vt:lpwstr>1033-12.1.0.28032</vt:lpwstr>
  </property>
  <property fmtid="{D5CDD505-2E9C-101B-9397-08002B2CF9AE}" pid="4" name="CalculationRule">
    <vt:i4>0</vt:i4>
  </property>
</Properties>
</file>